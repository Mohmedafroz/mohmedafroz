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ChartData" sheetId="2" state="hidden" r:id="rId4"/>
    <sheet name="📋 Sales Data" sheetId="3" state="visible" r:id="rId5"/>
    <sheet name="📅 Monthly" sheetId="4" state="visible" r:id="rId6"/>
    <sheet name="🏆 Products" sheetId="5" state="visible" r:id="rId7"/>
    <sheet name="🌍 Reg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<sst xmlns="http://schemas.openxmlformats.org/spreadsheetml/2006/main" count="338" uniqueCount="146">
  <si>
    <t xml:space="preserve">   NEXUS RETAIL  ·  EXECUTIVE SALES DASHBOARD  ·  FY 2024</t>
  </si>
  <si>
    <t xml:space="preserve">TOTAL REVENUE</t>
  </si>
  <si>
    <t xml:space="preserve">TOTAL UNITS SOLD</t>
  </si>
  <si>
    <t xml:space="preserve">TOP PRODUCT</t>
  </si>
  <si>
    <t xml:space="preserve">BEST REGION</t>
  </si>
  <si>
    <t xml:space="preserve">Full Year 2024</t>
  </si>
  <si>
    <t xml:space="preserve">Across All Products</t>
  </si>
  <si>
    <t xml:space="preserve">Highest Revenue</t>
  </si>
  <si>
    <t xml:space="preserve">Top Performing</t>
  </si>
  <si>
    <t xml:space="preserve">  PERFORMANCE ANALYTICS  ·  FY 2024</t>
  </si>
  <si>
    <t xml:space="preserve">   © 2024 Nexus Retail Intelligence  ·  Confidential  ·  For Internal Use Only  ·  All figures in INR</t>
  </si>
  <si>
    <t xml:space="preserve">Month</t>
  </si>
  <si>
    <t xml:space="preserve">Revenue</t>
  </si>
  <si>
    <t xml:space="preserve">Units</t>
  </si>
  <si>
    <t xml:space="preserve">Product</t>
  </si>
  <si>
    <t xml:space="preserve">Region</t>
  </si>
  <si>
    <t xml:space="preserve">Category</t>
  </si>
  <si>
    <t xml:space="preserve">Jan</t>
  </si>
  <si>
    <t xml:space="preserve">Laptop</t>
  </si>
  <si>
    <t xml:space="preserve">North</t>
  </si>
  <si>
    <t xml:space="preserve">Electronics</t>
  </si>
  <si>
    <t xml:space="preserve">Feb</t>
  </si>
  <si>
    <t xml:space="preserve">Smartphone</t>
  </si>
  <si>
    <t xml:space="preserve">South</t>
  </si>
  <si>
    <t xml:space="preserve">Furniture</t>
  </si>
  <si>
    <t xml:space="preserve">Mar</t>
  </si>
  <si>
    <t xml:space="preserve">Headphones</t>
  </si>
  <si>
    <t xml:space="preserve">East</t>
  </si>
  <si>
    <t xml:space="preserve">Apr</t>
  </si>
  <si>
    <t xml:space="preserve">Office Chair</t>
  </si>
  <si>
    <t xml:space="preserve">West</t>
  </si>
  <si>
    <t xml:space="preserve">May</t>
  </si>
  <si>
    <t xml:space="preserve">Study Table</t>
  </si>
  <si>
    <t xml:space="preserve">Jun</t>
  </si>
  <si>
    <t xml:space="preserve">Bookshelf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</si>
  <si>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</si>
  <si>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</si>
  <si>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</si>
  <si>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</si>
  <si>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</si>
  <si>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</si>
  <si>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  NEXUS RETAIL  ·  SALES TRANSACTION REGISTER  ·  FY 2024</t>
  </si>
  <si>
    <t xml:space="preserve">Order ID</t>
  </si>
  <si>
    <t xml:space="preserve">Date</t>
  </si>
  <si>
    <t xml:space="preserve">Unit Price (₹)</t>
  </si>
  <si>
    <t xml:space="preserve">Revenue (₹)</t>
  </si>
  <si>
    <t xml:space="preserve">ORD-001</t>
  </si>
  <si>
    <t xml:space="preserve">2024-01-05</t>
  </si>
  <si>
    <t xml:space="preserve">January</t>
  </si>
  <si>
    <t xml:space="preserve">ORD-002</t>
  </si>
  <si>
    <t xml:space="preserve">2024-01-12</t>
  </si>
  <si>
    <t xml:space="preserve">ORD-003</t>
  </si>
  <si>
    <t xml:space="preserve">2024-01-20</t>
  </si>
  <si>
    <t xml:space="preserve">ORD-004</t>
  </si>
  <si>
    <t xml:space="preserve">2024-01-28</t>
  </si>
  <si>
    <t xml:space="preserve">ORD-005</t>
  </si>
  <si>
    <t xml:space="preserve">2024-02-03</t>
  </si>
  <si>
    <t xml:space="preserve">February</t>
  </si>
  <si>
    <t xml:space="preserve">ORD-006</t>
  </si>
  <si>
    <t xml:space="preserve">2024-02-14</t>
  </si>
  <si>
    <t xml:space="preserve">ORD-007</t>
  </si>
  <si>
    <t xml:space="preserve">2024-02-22</t>
  </si>
  <si>
    <t xml:space="preserve">ORD-008</t>
  </si>
  <si>
    <t xml:space="preserve">2024-02-28</t>
  </si>
  <si>
    <t xml:space="preserve">ORD-009</t>
  </si>
  <si>
    <t xml:space="preserve">2024-03-07</t>
  </si>
  <si>
    <t xml:space="preserve">March</t>
  </si>
  <si>
    <t xml:space="preserve">ORD-010</t>
  </si>
  <si>
    <t xml:space="preserve">2024-03-15</t>
  </si>
  <si>
    <t xml:space="preserve">ORD-011</t>
  </si>
  <si>
    <t xml:space="preserve">2024-03-28</t>
  </si>
  <si>
    <t xml:space="preserve">ORD-012</t>
  </si>
  <si>
    <t xml:space="preserve">2024-04-04</t>
  </si>
  <si>
    <t xml:space="preserve">April</t>
  </si>
  <si>
    <t xml:space="preserve">ORD-013</t>
  </si>
  <si>
    <t xml:space="preserve">2024-04-18</t>
  </si>
  <si>
    <t xml:space="preserve">ORD-014</t>
  </si>
  <si>
    <t xml:space="preserve">2024-04-29</t>
  </si>
  <si>
    <t xml:space="preserve">ORD-015</t>
  </si>
  <si>
    <t xml:space="preserve">2024-05-06</t>
  </si>
  <si>
    <t xml:space="preserve">ORD-016</t>
  </si>
  <si>
    <t xml:space="preserve">2024-05-19</t>
  </si>
  <si>
    <t xml:space="preserve">ORD-017</t>
  </si>
  <si>
    <t xml:space="preserve">2024-05-27</t>
  </si>
  <si>
    <t xml:space="preserve">ORD-018</t>
  </si>
  <si>
    <t xml:space="preserve">2024-06-03</t>
  </si>
  <si>
    <t xml:space="preserve">June</t>
  </si>
  <si>
    <t xml:space="preserve">ORD-019</t>
  </si>
  <si>
    <t xml:space="preserve">2024-06-16</t>
  </si>
  <si>
    <t xml:space="preserve">ORD-020</t>
  </si>
  <si>
    <t xml:space="preserve">2024-06-25</t>
  </si>
  <si>
    <t xml:space="preserve">ORD-021</t>
  </si>
  <si>
    <t xml:space="preserve">2024-07-08</t>
  </si>
  <si>
    <t xml:space="preserve">July</t>
  </si>
  <si>
    <t xml:space="preserve">ORD-022</t>
  </si>
  <si>
    <t xml:space="preserve">2024-07-21</t>
  </si>
  <si>
    <t xml:space="preserve">ORD-023</t>
  </si>
  <si>
    <t xml:space="preserve">2024-07-30</t>
  </si>
  <si>
    <t xml:space="preserve">ORD-024</t>
  </si>
  <si>
    <t xml:space="preserve">2024-08-05</t>
  </si>
  <si>
    <t xml:space="preserve">August</t>
  </si>
  <si>
    <t xml:space="preserve">ORD-025</t>
  </si>
  <si>
    <t xml:space="preserve">2024-08-17</t>
  </si>
  <si>
    <t xml:space="preserve">ORD-026</t>
  </si>
  <si>
    <t xml:space="preserve">2024-08-28</t>
  </si>
  <si>
    <t xml:space="preserve">ORD-027</t>
  </si>
  <si>
    <t xml:space="preserve">2024-09-09</t>
  </si>
  <si>
    <t xml:space="preserve">September</t>
  </si>
  <si>
    <t xml:space="preserve">ORD-028</t>
  </si>
  <si>
    <t xml:space="preserve">2024-09-20</t>
  </si>
  <si>
    <t xml:space="preserve">ORD-029</t>
  </si>
  <si>
    <t xml:space="preserve">2024-09-29</t>
  </si>
  <si>
    <t xml:space="preserve">ORD-030</t>
  </si>
  <si>
    <t xml:space="preserve">2024-10-07</t>
  </si>
  <si>
    <t xml:space="preserve">October</t>
  </si>
  <si>
    <t xml:space="preserve">ORD-031</t>
  </si>
  <si>
    <t xml:space="preserve">2024-10-18</t>
  </si>
  <si>
    <t xml:space="preserve">ORD-032</t>
  </si>
  <si>
    <t xml:space="preserve">2024-10-30</t>
  </si>
  <si>
    <t xml:space="preserve">ORD-033</t>
  </si>
  <si>
    <t xml:space="preserve">2024-11-04</t>
  </si>
  <si>
    <t xml:space="preserve">November</t>
  </si>
  <si>
    <t xml:space="preserve">ORD-034</t>
  </si>
  <si>
    <t xml:space="preserve">2024-11-15</t>
  </si>
  <si>
    <t xml:space="preserve">ORD-035</t>
  </si>
  <si>
    <t xml:space="preserve">2024-11-28</t>
  </si>
  <si>
    <t xml:space="preserve">ORD-036</t>
  </si>
  <si>
    <t xml:space="preserve">2024-12-05</t>
  </si>
  <si>
    <t xml:space="preserve">December</t>
  </si>
  <si>
    <t xml:space="preserve">ORD-037</t>
  </si>
  <si>
    <t xml:space="preserve">2024-12-18</t>
  </si>
  <si>
    <t xml:space="preserve">ORD-038</t>
  </si>
  <si>
    <t xml:space="preserve">2024-12-29</t>
  </si>
  <si>
    <t xml:space="preserve">GRAND TOTAL</t>
  </si>
  <si>
    <t xml:space="preserve">  MONTHLY PERFORMANCE  ·  FY 2024</t>
  </si>
  <si>
    <t xml:space="preserve">Prev Rev</t>
  </si>
  <si>
    <t xml:space="preserve">MoM Δ %</t>
  </si>
  <si>
    <t xml:space="preserve">Cumulative Rev</t>
  </si>
  <si>
    <t xml:space="preserve">% of Year</t>
  </si>
  <si>
    <t xml:space="preserve">—</t>
  </si>
  <si>
    <t xml:space="preserve">FULL YEAR</t>
  </si>
  <si>
    <t xml:space="preserve">  PRODUCT PERFORMANCE  ·  FY 2024</t>
  </si>
  <si>
    <t xml:space="preserve">Rev Share %</t>
  </si>
  <si>
    <t xml:space="preserve">Rank</t>
  </si>
  <si>
    <t xml:space="preserve">TOTAL</t>
  </si>
  <si>
    <t xml:space="preserve">  REGIONAL BREAKDOWN  ·  FY 2024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</si>
</sst>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#,##0"/>
    <numFmt numFmtId="167" formatCode="@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Calibri Light"/>
      <family val="0"/>
      <charset val="1"/>
    </font>
    <font>
      <b val="true"/>
      <sz val="7.5"/>
      <color rgb="FF8899AA"/>
      <name val="Calibri Light"/>
      <family val="0"/>
      <charset val="1"/>
    </font>
    <font>
      <b val="true"/>
      <sz val="18"/>
      <color rgb="FF00B4D8"/>
      <name val="Calibri Light"/>
      <family val="0"/>
      <charset val="1"/>
    </font>
    <font>
      <b val="true"/>
      <sz val="18"/>
      <color rgb="FFC9A84C"/>
      <name val="Calibri Light"/>
      <family val="0"/>
      <charset val="1"/>
    </font>
    <font>
      <b val="true"/>
      <sz val="18"/>
      <color rgb="FF06D6A0"/>
      <name val="Calibri Light"/>
      <family val="0"/>
      <charset val="1"/>
    </font>
    <font>
      <b val="true"/>
      <sz val="18"/>
      <color rgb="FFF4845F"/>
      <name val="Calibri Light"/>
      <family val="0"/>
      <charset val="1"/>
    </font>
    <font>
      <i val="true"/>
      <sz val="7.5"/>
      <color rgb="FF8899AA"/>
      <name val="Calibri Light"/>
      <family val="0"/>
      <charset val="1"/>
    </font>
    <font>
      <b val="true"/>
      <sz val="8"/>
      <color rgb="FFC9A84C"/>
      <name val="Calibri Light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C9A84C"/>
      <name val="Calibri Light"/>
      <family val="0"/>
      <charset val="1"/>
    </font>
    <font>
      <b val="true"/>
      <sz val="9"/>
      <color rgb="FFC9A84C"/>
      <name val="Calibri"/>
      <family val="0"/>
      <charset val="1"/>
    </font>
    <font>
      <sz val="9"/>
      <color rgb="FFD8E4F0"/>
      <name val="Calibri"/>
      <family val="0"/>
      <charset val="1"/>
    </font>
    <font>
      <b val="true"/>
      <sz val="10"/>
      <color rgb="FFC9A84C"/>
      <name val="Calibri"/>
      <family val="0"/>
      <charset val="1"/>
    </font>
    <font>
      <b val="true"/>
      <sz val="13"/>
      <color rgb="FFC9A84C"/>
      <name val="Calibri Light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1B2A"/>
        <bgColor rgb="FF162438"/>
      </patternFill>
    </fill>
    <fill>
      <patternFill patternType="solid">
        <fgColor rgb="FFC9A84C"/>
        <bgColor rgb="FFF4845F"/>
      </patternFill>
    </fill>
    <fill>
      <patternFill patternType="solid">
        <fgColor rgb="FF00B4D8"/>
        <bgColor rgb="FF06D6A0"/>
      </patternFill>
    </fill>
    <fill>
      <patternFill patternType="solid">
        <fgColor rgb="FF06D6A0"/>
        <bgColor rgb="FF00B4D8"/>
      </patternFill>
    </fill>
    <fill>
      <patternFill patternType="solid">
        <fgColor rgb="FFF4845F"/>
        <bgColor rgb="FFC9A84C"/>
      </patternFill>
    </fill>
    <fill>
      <patternFill patternType="solid">
        <fgColor rgb="FF1A2E45"/>
        <bgColor rgb="FF162438"/>
      </patternFill>
    </fill>
    <fill>
      <patternFill patternType="solid">
        <fgColor rgb="FF162438"/>
        <bgColor rgb="FF1A2E4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/>
      <right/>
      <top/>
      <bottom style="thin">
        <color rgb="FF2A3F5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B2FBE"/>
      <rgbColor rgb="FFFFFFCC"/>
      <rgbColor rgb="FFD8E4F0"/>
      <rgbColor rgb="FF660066"/>
      <rgbColor rgb="FFF484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6D6A0"/>
      <rgbColor rgb="FF99CC00"/>
      <rgbColor rgb="FFFFCC00"/>
      <rgbColor rgb="FFC9A84C"/>
      <rgbColor rgb="FFEF476F"/>
      <rgbColor rgb="FF4F81BD"/>
      <rgbColor rgb="FF8899AA"/>
      <rgbColor rgb="FF162438"/>
      <rgbColor rgb="FF339966"/>
      <rgbColor rgb="FF0D1B2A"/>
      <rgbColor rgb="FF333300"/>
      <rgbColor rgb="FF993300"/>
      <rgbColor rgb="FF993366"/>
      <rgbColor rgb="FF2A3F58"/>
      <rgbColor rgb="FF1A2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ChartData!B1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b4d8"/>
            </a:solidFill>
            <a:ln w="28080">
              <a:solidFill>
                <a:srgbClr val="00b4d8"/>
              </a:solidFill>
              <a:round/>
            </a:ln>
          </c:spPr>
          <c:marker>
            <c:symbol val="circle"/>
            <c:size val="6"/>
            <c:spPr>
              <a:solidFill>
                <a:srgbClr val="00b4d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ChartData!$B$2:$B$13</c:f>
              <c:numCache>
                <c:formatCode>General</c:formatCode>
                <c:ptCount val="12"/>
                <c:pt idx="0">
                  <c:v>1037500</c:v>
                </c:pt>
                <c:pt idx="1">
                  <c:v>936000</c:v>
                </c:pt>
                <c:pt idx="2">
                  <c:v>1310000</c:v>
                </c:pt>
                <c:pt idx="3">
                  <c:v>905000</c:v>
                </c:pt>
                <c:pt idx="4">
                  <c:v>1480000</c:v>
                </c:pt>
                <c:pt idx="5">
                  <c:v>1380000</c:v>
                </c:pt>
                <c:pt idx="6">
                  <c:v>1635000</c:v>
                </c:pt>
                <c:pt idx="7">
                  <c:v>1177000</c:v>
                </c:pt>
                <c:pt idx="8">
                  <c:v>2005000</c:v>
                </c:pt>
                <c:pt idx="9">
                  <c:v>1785000</c:v>
                </c:pt>
                <c:pt idx="10">
                  <c:v>2528000</c:v>
                </c:pt>
                <c:pt idx="11">
                  <c:v>3265000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528975"/>
        <c:axId val="67944336"/>
      </c:lineChart>
      <c:catAx>
        <c:axId val="152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44336"/>
        <c:crosses val="autoZero"/>
        <c:auto val="1"/>
        <c:lblAlgn val="ctr"/>
        <c:lblOffset val="100"/>
        <c:noMultiLvlLbl val="0"/>
      </c:catAx>
      <c:valAx>
        <c:axId val="6794433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89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ChartData!F1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b4d8"/>
              </a:solidFill>
              <a:ln w="0">
                <a:solidFill>
                  <a:srgbClr val="0d1b2a"/>
                </a:solidFill>
              </a:ln>
            </c:spPr>
          </c:dPt>
          <c:dPt>
            <c:idx val="1"/>
            <c:invertIfNegative val="0"/>
            <c:spPr>
              <a:solidFill>
                <a:srgbClr val="c9a84c"/>
              </a:solidFill>
              <a:ln w="0">
                <a:solidFill>
                  <a:srgbClr val="0d1b2a"/>
                </a:solidFill>
              </a:ln>
            </c:spPr>
          </c:dPt>
          <c:dPt>
            <c:idx val="2"/>
            <c:invertIfNegative val="0"/>
            <c:spPr>
              <a:solidFill>
                <a:srgbClr val="06d6a0"/>
              </a:solidFill>
              <a:ln w="0">
                <a:solidFill>
                  <a:srgbClr val="0d1b2a"/>
                </a:solidFill>
              </a:ln>
            </c:spPr>
          </c:dPt>
          <c:dPt>
            <c:idx val="3"/>
            <c:invertIfNegative val="0"/>
            <c:spPr>
              <a:solidFill>
                <a:srgbClr val="f4845f"/>
              </a:solidFill>
              <a:ln w="0">
                <a:solidFill>
                  <a:srgbClr val="0d1b2a"/>
                </a:solidFill>
              </a:ln>
            </c:spPr>
          </c:dPt>
          <c:dPt>
            <c:idx val="4"/>
            <c:invertIfNegative val="0"/>
            <c:spPr>
              <a:solidFill>
                <a:srgbClr val="7b2fbe"/>
              </a:solidFill>
              <a:ln w="0">
                <a:solidFill>
                  <a:srgbClr val="0d1b2a"/>
                </a:solidFill>
              </a:ln>
            </c:spPr>
          </c:dPt>
          <c:dPt>
            <c:idx val="5"/>
            <c:invertIfNegative val="0"/>
            <c:spPr>
              <a:solidFill>
                <a:srgbClr val="ef476f"/>
              </a:solidFill>
              <a:ln w="0">
                <a:solidFill>
                  <a:srgbClr val="0d1b2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ChartData!$E$2:$E$7</c:f>
              <c:strCache>
                <c:ptCount val="6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Office Chair</c:v>
                </c:pt>
                <c:pt idx="4">
                  <c:v>Study Table</c:v>
                </c:pt>
                <c:pt idx="5">
                  <c:v>Bookshelf</c:v>
                </c:pt>
              </c:strCache>
            </c:strRef>
          </c:cat>
          <c:val>
            <c:numRef>
              <c:f>ChartData!$F$2:$F$7</c:f>
              <c:numCache>
                <c:formatCode>General</c:formatCode>
                <c:ptCount val="6"/>
                <c:pt idx="0">
                  <c:v>8260000</c:v>
                </c:pt>
                <c:pt idx="1">
                  <c:v>5625000</c:v>
                </c:pt>
                <c:pt idx="2">
                  <c:v>1380000</c:v>
                </c:pt>
                <c:pt idx="3">
                  <c:v>742500</c:v>
                </c:pt>
                <c:pt idx="4">
                  <c:v>320000</c:v>
                </c:pt>
                <c:pt idx="5">
                  <c:v>220000</c:v>
                </c:pt>
              </c:numCache>
            </c:numRef>
          </c:val>
        </c:ser>
        <c:gapWidth val="150"/>
        <c:overlap val="0"/>
        <c:axId val="78388745"/>
        <c:axId val="44460825"/>
      </c:barChart>
      <c:catAx>
        <c:axId val="783887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60825"/>
        <c:crosses val="autoZero"/>
        <c:auto val="1"/>
        <c:lblAlgn val="ctr"/>
        <c:lblOffset val="100"/>
        <c:noMultiLvlLbl val="0"/>
      </c:catAx>
      <c:valAx>
        <c:axId val="444608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887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Sold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ChartData!G1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9a84c"/>
              </a:solidFill>
              <a:ln w="0">
                <a:solidFill>
                  <a:srgbClr val="0d1b2a"/>
                </a:solidFill>
              </a:ln>
            </c:spPr>
          </c:dPt>
          <c:dPt>
            <c:idx val="1"/>
            <c:invertIfNegative val="0"/>
            <c:spPr>
              <a:solidFill>
                <a:srgbClr val="00b4d8"/>
              </a:solidFill>
              <a:ln w="0">
                <a:solidFill>
                  <a:srgbClr val="0d1b2a"/>
                </a:solidFill>
              </a:ln>
            </c:spPr>
          </c:dPt>
          <c:dPt>
            <c:idx val="2"/>
            <c:invertIfNegative val="0"/>
            <c:spPr>
              <a:solidFill>
                <a:srgbClr val="06d6a0"/>
              </a:solidFill>
              <a:ln w="0">
                <a:solidFill>
                  <a:srgbClr val="0d1b2a"/>
                </a:solidFill>
              </a:ln>
            </c:spPr>
          </c:dPt>
          <c:dPt>
            <c:idx val="3"/>
            <c:invertIfNegative val="0"/>
            <c:spPr>
              <a:solidFill>
                <a:srgbClr val="f4845f"/>
              </a:solidFill>
              <a:ln w="0">
                <a:solidFill>
                  <a:srgbClr val="0d1b2a"/>
                </a:solidFill>
              </a:ln>
            </c:spPr>
          </c:dPt>
          <c:dPt>
            <c:idx val="4"/>
            <c:invertIfNegative val="0"/>
            <c:spPr>
              <a:solidFill>
                <a:srgbClr val="7b2fbe"/>
              </a:solidFill>
              <a:ln w="0">
                <a:solidFill>
                  <a:srgbClr val="0d1b2a"/>
                </a:solidFill>
              </a:ln>
            </c:spPr>
          </c:dPt>
          <c:dPt>
            <c:idx val="5"/>
            <c:invertIfNegative val="0"/>
            <c:spPr>
              <a:solidFill>
                <a:srgbClr val="ef476f"/>
              </a:solidFill>
              <a:ln w="0">
                <a:solidFill>
                  <a:srgbClr val="0d1b2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ChartData!$E$2:$E$7</c:f>
              <c:strCache>
                <c:ptCount val="6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Office Chair</c:v>
                </c:pt>
                <c:pt idx="4">
                  <c:v>Study Table</c:v>
                </c:pt>
                <c:pt idx="5">
                  <c:v>Bookshelf</c:v>
                </c:pt>
              </c:strCache>
            </c:strRef>
          </c:cat>
          <c:val>
            <c:numRef>
              <c:f>ChartData!$G$2:$G$7</c:f>
              <c:numCache>
                <c:formatCode>General</c:formatCode>
                <c:ptCount val="6"/>
                <c:pt idx="0">
                  <c:v>178</c:v>
                </c:pt>
                <c:pt idx="1">
                  <c:v>375</c:v>
                </c:pt>
                <c:pt idx="2">
                  <c:v>460</c:v>
                </c:pt>
                <c:pt idx="3">
                  <c:v>99</c:v>
                </c:pt>
                <c:pt idx="4">
                  <c:v>40</c:v>
                </c:pt>
                <c:pt idx="5">
                  <c:v>55</c:v>
                </c:pt>
              </c:numCache>
            </c:numRef>
          </c:val>
        </c:ser>
        <c:gapWidth val="150"/>
        <c:overlap val="0"/>
        <c:axId val="12079187"/>
        <c:axId val="44855094"/>
      </c:barChart>
      <c:catAx>
        <c:axId val="1207918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55094"/>
        <c:crosses val="autoZero"/>
        <c:auto val="1"/>
        <c:lblAlgn val="ctr"/>
        <c:lblOffset val="100"/>
        <c:noMultiLvlLbl val="0"/>
      </c:catAx>
      <c:valAx>
        <c:axId val="44855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791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ChartData!J1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b4d8"/>
              </a:solidFill>
              <a:ln w="0">
                <a:solidFill>
                  <a:srgbClr val="0d1b2a"/>
                </a:solidFill>
              </a:ln>
            </c:spPr>
          </c:dPt>
          <c:dPt>
            <c:idx val="1"/>
            <c:spPr>
              <a:solidFill>
                <a:srgbClr val="c9a84c"/>
              </a:solidFill>
              <a:ln w="0">
                <a:solidFill>
                  <a:srgbClr val="0d1b2a"/>
                </a:solidFill>
              </a:ln>
            </c:spPr>
          </c:dPt>
          <c:dPt>
            <c:idx val="2"/>
            <c:spPr>
              <a:solidFill>
                <a:srgbClr val="06d6a0"/>
              </a:solidFill>
              <a:ln w="0">
                <a:solidFill>
                  <a:srgbClr val="0d1b2a"/>
                </a:solidFill>
              </a:ln>
            </c:spPr>
          </c:dPt>
          <c:dPt>
            <c:idx val="3"/>
            <c:spPr>
              <a:solidFill>
                <a:srgbClr val="f4845f"/>
              </a:solidFill>
              <a:ln w="0">
                <a:solidFill>
                  <a:srgbClr val="0d1b2a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ChartData!$I$2:$I$5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ChartData!$J$2:$J$5</c:f>
              <c:numCache>
                <c:formatCode>General</c:formatCode>
                <c:ptCount val="4"/>
                <c:pt idx="0">
                  <c:v>5628000</c:v>
                </c:pt>
                <c:pt idx="1">
                  <c:v>4921000</c:v>
                </c:pt>
                <c:pt idx="2">
                  <c:v>4517000</c:v>
                </c:pt>
                <c:pt idx="3">
                  <c:v>3481000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40</xdr:col>
      <xdr:colOff>42840</xdr:colOff>
      <xdr:row>41</xdr:row>
      <xdr:rowOff>59040</xdr:rowOff>
    </xdr:to>
    <xdr:graphicFrame>
      <xdr:nvGraphicFramePr>
        <xdr:cNvPr id="0" name="Chart 1"/>
        <xdr:cNvGraphicFramePr/>
      </xdr:nvGraphicFramePr>
      <xdr:xfrm>
        <a:off x="84600" y="2114640"/>
        <a:ext cx="1511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13</xdr:row>
      <xdr:rowOff>0</xdr:rowOff>
    </xdr:from>
    <xdr:to>
      <xdr:col>42</xdr:col>
      <xdr:colOff>595440</xdr:colOff>
      <xdr:row>41</xdr:row>
      <xdr:rowOff>59040</xdr:rowOff>
    </xdr:to>
    <xdr:graphicFrame>
      <xdr:nvGraphicFramePr>
        <xdr:cNvPr id="1" name="Chart 2"/>
        <xdr:cNvGraphicFramePr/>
      </xdr:nvGraphicFramePr>
      <xdr:xfrm>
        <a:off x="3300120" y="2114640"/>
        <a:ext cx="1367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40</xdr:col>
      <xdr:colOff>42840</xdr:colOff>
      <xdr:row>61</xdr:row>
      <xdr:rowOff>116280</xdr:rowOff>
    </xdr:to>
    <xdr:graphicFrame>
      <xdr:nvGraphicFramePr>
        <xdr:cNvPr id="2" name="Chart 3"/>
        <xdr:cNvGraphicFramePr/>
      </xdr:nvGraphicFramePr>
      <xdr:xfrm>
        <a:off x="84600" y="5715000"/>
        <a:ext cx="1511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34</xdr:row>
      <xdr:rowOff>0</xdr:rowOff>
    </xdr:from>
    <xdr:to>
      <xdr:col>42</xdr:col>
      <xdr:colOff>595440</xdr:colOff>
      <xdr:row>61</xdr:row>
      <xdr:rowOff>116280</xdr:rowOff>
    </xdr:to>
    <xdr:graphicFrame>
      <xdr:nvGraphicFramePr>
        <xdr:cNvPr id="3" name="Chart 4"/>
        <xdr:cNvGraphicFramePr/>
      </xdr:nvGraphicFramePr>
      <xdr:xfrm>
        <a:off x="3300120" y="5715000"/>
        <a:ext cx="1367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Z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5" min="2" style="0" width="3.8"/>
    <col collapsed="false" customWidth="true" hidden="false" outlineLevel="0" max="26" min="26" style="0" width="1.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6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9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.75" hidden="false" customHeight="true" outlineLevel="0" collapsed="false">
      <c r="A5" s="1"/>
      <c r="B5" s="4"/>
      <c r="C5" s="4"/>
      <c r="D5" s="4"/>
      <c r="E5" s="4"/>
      <c r="F5" s="4"/>
      <c r="G5" s="1"/>
      <c r="H5" s="5"/>
      <c r="I5" s="5"/>
      <c r="J5" s="5"/>
      <c r="K5" s="5"/>
      <c r="L5" s="5"/>
      <c r="M5" s="1"/>
      <c r="N5" s="6"/>
      <c r="O5" s="6"/>
      <c r="P5" s="6"/>
      <c r="Q5" s="6"/>
      <c r="R5" s="6"/>
      <c r="S5" s="1"/>
      <c r="T5" s="7"/>
      <c r="U5" s="7"/>
      <c r="V5" s="7"/>
      <c r="W5" s="7"/>
      <c r="X5" s="7"/>
      <c r="Y5" s="1"/>
      <c r="Z5" s="1"/>
    </row>
    <row r="6" customFormat="false" ht="15" hidden="false" customHeight="true" outlineLevel="0" collapsed="false">
      <c r="A6" s="1"/>
      <c r="B6" s="8" t="s">
        <v>1</v>
      </c>
      <c r="C6" s="8"/>
      <c r="D6" s="8"/>
      <c r="E6" s="8"/>
      <c r="F6" s="8"/>
      <c r="G6" s="1"/>
      <c r="H6" s="8" t="s">
        <v>2</v>
      </c>
      <c r="I6" s="8"/>
      <c r="J6" s="8"/>
      <c r="K6" s="8"/>
      <c r="L6" s="8"/>
      <c r="M6" s="1"/>
      <c r="N6" s="8" t="s">
        <v>3</v>
      </c>
      <c r="O6" s="8"/>
      <c r="P6" s="8"/>
      <c r="Q6" s="8"/>
      <c r="R6" s="8"/>
      <c r="S6" s="1"/>
      <c r="T6" s="8" t="s">
        <v>4</v>
      </c>
      <c r="U6" s="8"/>
      <c r="V6" s="8"/>
      <c r="W6" s="8"/>
      <c r="X6" s="8"/>
      <c r="Y6" s="1"/>
      <c r="Z6" s="1"/>
    </row>
    <row r="7" customFormat="false" ht="15.75" hidden="false" customHeight="true" outlineLevel="0" collapsed="false">
      <c r="A7" s="1"/>
      <c r="B7" s="9" t="n">
        <f aca="false">SUMPRODUCT(('📋 Sales Data'!G3:G40)*('📋 Sales Data'!H3:H40))</f>
        <v>19018500</v>
      </c>
      <c r="C7" s="9"/>
      <c r="D7" s="9"/>
      <c r="E7" s="9"/>
      <c r="F7" s="9"/>
      <c r="G7" s="1"/>
      <c r="H7" s="10" t="n">
        <f aca="false">SUM('📋 Sales Data'!G3:G40)</f>
        <v>1147</v>
      </c>
      <c r="I7" s="10"/>
      <c r="J7" s="10"/>
      <c r="K7" s="10"/>
      <c r="L7" s="10"/>
      <c r="M7" s="1"/>
      <c r="N7" s="11" t="str">
        <f aca="false">INDEX('🏆 Products'!A3:A8,MATCH(MAX('🏆 Products'!D3:D8),'🏆 Products'!D3:D8,0))</f>
        <v>Laptop</v>
      </c>
      <c r="O7" s="11"/>
      <c r="P7" s="11"/>
      <c r="Q7" s="11"/>
      <c r="R7" s="11"/>
      <c r="S7" s="1"/>
      <c r="T7" s="12" t="str">
        <f aca="false">INDEX('🌍 Regions'!A3:A6,MATCH(MAX('🌍 Regions'!C3:C6),'🌍 Regions'!C3:C6,0))</f>
        <v>East</v>
      </c>
      <c r="U7" s="12"/>
      <c r="V7" s="12"/>
      <c r="W7" s="12"/>
      <c r="X7" s="12"/>
      <c r="Y7" s="1"/>
      <c r="Z7" s="1"/>
    </row>
    <row r="8" customFormat="false" ht="15.75" hidden="false" customHeight="true" outlineLevel="0" collapsed="false">
      <c r="A8" s="1"/>
      <c r="B8" s="9"/>
      <c r="C8" s="9"/>
      <c r="D8" s="9"/>
      <c r="E8" s="9"/>
      <c r="F8" s="9"/>
      <c r="G8" s="1"/>
      <c r="H8" s="10"/>
      <c r="I8" s="10"/>
      <c r="J8" s="10"/>
      <c r="K8" s="10"/>
      <c r="L8" s="10"/>
      <c r="M8" s="1"/>
      <c r="N8" s="11"/>
      <c r="O8" s="11"/>
      <c r="P8" s="11"/>
      <c r="Q8" s="11"/>
      <c r="R8" s="11"/>
      <c r="S8" s="1"/>
      <c r="T8" s="12"/>
      <c r="U8" s="12"/>
      <c r="V8" s="12"/>
      <c r="W8" s="12"/>
      <c r="X8" s="12"/>
      <c r="Y8" s="1"/>
      <c r="Z8" s="1"/>
    </row>
    <row r="9" customFormat="false" ht="15.75" hidden="false" customHeight="true" outlineLevel="0" collapsed="false">
      <c r="A9" s="1"/>
      <c r="B9" s="9"/>
      <c r="C9" s="9"/>
      <c r="D9" s="9"/>
      <c r="E9" s="9"/>
      <c r="F9" s="9"/>
      <c r="G9" s="1"/>
      <c r="H9" s="10"/>
      <c r="I9" s="10"/>
      <c r="J9" s="10"/>
      <c r="K9" s="10"/>
      <c r="L9" s="10"/>
      <c r="M9" s="1"/>
      <c r="N9" s="11"/>
      <c r="O9" s="11"/>
      <c r="P9" s="11"/>
      <c r="Q9" s="11"/>
      <c r="R9" s="11"/>
      <c r="S9" s="1"/>
      <c r="T9" s="12"/>
      <c r="U9" s="12"/>
      <c r="V9" s="12"/>
      <c r="W9" s="12"/>
      <c r="X9" s="12"/>
      <c r="Y9" s="1"/>
      <c r="Z9" s="1"/>
    </row>
    <row r="10" customFormat="false" ht="13.5" hidden="false" customHeight="true" outlineLevel="0" collapsed="false">
      <c r="A10" s="1"/>
      <c r="B10" s="13" t="s">
        <v>5</v>
      </c>
      <c r="C10" s="13"/>
      <c r="D10" s="13"/>
      <c r="E10" s="13"/>
      <c r="F10" s="13"/>
      <c r="G10" s="1"/>
      <c r="H10" s="13" t="s">
        <v>6</v>
      </c>
      <c r="I10" s="13"/>
      <c r="J10" s="13"/>
      <c r="K10" s="13"/>
      <c r="L10" s="13"/>
      <c r="M10" s="1"/>
      <c r="N10" s="13" t="s">
        <v>7</v>
      </c>
      <c r="O10" s="13"/>
      <c r="P10" s="13"/>
      <c r="Q10" s="13"/>
      <c r="R10" s="13"/>
      <c r="S10" s="1"/>
      <c r="T10" s="13" t="s">
        <v>8</v>
      </c>
      <c r="U10" s="13"/>
      <c r="V10" s="13"/>
      <c r="W10" s="13"/>
      <c r="X10" s="13"/>
      <c r="Y10" s="1"/>
      <c r="Z10" s="1"/>
    </row>
    <row r="11" customFormat="false" ht="6" hidden="false" customHeight="true" outlineLevel="0" collapsed="false">
      <c r="A11" s="1"/>
      <c r="B11" s="14"/>
      <c r="C11" s="14"/>
      <c r="D11" s="14"/>
      <c r="E11" s="14"/>
      <c r="F11" s="14"/>
      <c r="G11" s="1"/>
      <c r="H11" s="14"/>
      <c r="I11" s="14"/>
      <c r="J11" s="14"/>
      <c r="K11" s="14"/>
      <c r="L11" s="14"/>
      <c r="M11" s="1"/>
      <c r="N11" s="14"/>
      <c r="O11" s="14"/>
      <c r="P11" s="14"/>
      <c r="Q11" s="14"/>
      <c r="R11" s="14"/>
      <c r="S11" s="1"/>
      <c r="T11" s="14"/>
      <c r="U11" s="14"/>
      <c r="V11" s="14"/>
      <c r="W11" s="14"/>
      <c r="X11" s="14"/>
      <c r="Y11" s="1"/>
      <c r="Z11" s="1"/>
    </row>
    <row r="12" customFormat="false" ht="9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true" outlineLevel="0" collapsed="false">
      <c r="A13" s="1"/>
      <c r="B13" s="15" t="s">
        <v>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3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3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3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3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3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3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3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3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3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3.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3.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3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3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3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3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3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3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3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3.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3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3.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3.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3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3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3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3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3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3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3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3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3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3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3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3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3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3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7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3.5" hidden="false" customHeight="true" outlineLevel="0" collapsed="false">
      <c r="A53" s="16" t="s">
        <v>10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</sheetData>
  <mergeCells count="16">
    <mergeCell ref="A2:Z2"/>
    <mergeCell ref="A3:Z3"/>
    <mergeCell ref="B6:F6"/>
    <mergeCell ref="H6:L6"/>
    <mergeCell ref="N6:R6"/>
    <mergeCell ref="T6:X6"/>
    <mergeCell ref="B7:F9"/>
    <mergeCell ref="H7:L9"/>
    <mergeCell ref="N7:R9"/>
    <mergeCell ref="T7:X9"/>
    <mergeCell ref="B10:F10"/>
    <mergeCell ref="H10:L10"/>
    <mergeCell ref="N10:R10"/>
    <mergeCell ref="T10:X10"/>
    <mergeCell ref="B13:Z13"/>
    <mergeCell ref="A53:Z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  <c r="C1" s="0" t="s">
        <v>13</v>
      </c>
      <c r="E1" s="0" t="s">
        <v>14</v>
      </c>
      <c r="F1" s="0" t="s">
        <v>12</v>
      </c>
      <c r="G1" s="0" t="s">
        <v>13</v>
      </c>
      <c r="I1" s="0" t="s">
        <v>15</v>
      </c>
      <c r="J1" s="0" t="s">
        <v>12</v>
      </c>
      <c r="M1" s="0" t="s">
        <v>16</v>
      </c>
      <c r="N1" s="0" t="s">
        <v>12</v>
      </c>
    </row>
    <row r="2" customFormat="false" ht="15" hidden="false" customHeight="false" outlineLevel="0" collapsed="false">
      <c r="A2" s="0" t="s">
        <v>17</v>
      </c>
      <c r="B2" s="0" t="n">
        <v>1037500</v>
      </c>
      <c r="C2" s="0" t="n">
        <v>80</v>
      </c>
      <c r="E2" s="0" t="s">
        <v>18</v>
      </c>
      <c r="F2" s="0" t="n">
        <v>8260000</v>
      </c>
      <c r="G2" s="0" t="n">
        <v>178</v>
      </c>
      <c r="I2" s="0" t="s">
        <v>19</v>
      </c>
      <c r="J2" s="0" t="n">
        <v>5628000</v>
      </c>
      <c r="M2" s="0" t="s">
        <v>20</v>
      </c>
      <c r="N2" s="0" t="n">
        <v>15265000</v>
      </c>
    </row>
    <row r="3" customFormat="false" ht="15" hidden="false" customHeight="false" outlineLevel="0" collapsed="false">
      <c r="A3" s="0" t="s">
        <v>21</v>
      </c>
      <c r="B3" s="0" t="n">
        <v>936000</v>
      </c>
      <c r="C3" s="0" t="n">
        <v>80</v>
      </c>
      <c r="E3" s="0" t="s">
        <v>22</v>
      </c>
      <c r="F3" s="0" t="n">
        <v>5625000</v>
      </c>
      <c r="G3" s="0" t="n">
        <v>375</v>
      </c>
      <c r="I3" s="0" t="s">
        <v>23</v>
      </c>
      <c r="J3" s="0" t="n">
        <v>4921000</v>
      </c>
      <c r="M3" s="0" t="s">
        <v>24</v>
      </c>
      <c r="N3" s="0" t="n">
        <v>1282500</v>
      </c>
    </row>
    <row r="4" customFormat="false" ht="15" hidden="false" customHeight="false" outlineLevel="0" collapsed="false">
      <c r="A4" s="0" t="s">
        <v>25</v>
      </c>
      <c r="B4" s="0" t="n">
        <v>1310000</v>
      </c>
      <c r="C4" s="0" t="n">
        <v>62</v>
      </c>
      <c r="E4" s="0" t="s">
        <v>26</v>
      </c>
      <c r="F4" s="0" t="n">
        <v>1380000</v>
      </c>
      <c r="G4" s="0" t="n">
        <v>460</v>
      </c>
      <c r="I4" s="0" t="s">
        <v>27</v>
      </c>
      <c r="J4" s="0" t="n">
        <v>4517000</v>
      </c>
    </row>
    <row r="5" customFormat="false" ht="15" hidden="false" customHeight="false" outlineLevel="0" collapsed="false">
      <c r="A5" s="0" t="s">
        <v>28</v>
      </c>
      <c r="B5" s="0" t="n">
        <v>905000</v>
      </c>
      <c r="C5" s="0" t="n">
        <v>96</v>
      </c>
      <c r="E5" s="0" t="s">
        <v>29</v>
      </c>
      <c r="F5" s="0" t="n">
        <v>742500</v>
      </c>
      <c r="G5" s="0" t="n">
        <v>99</v>
      </c>
      <c r="I5" s="0" t="s">
        <v>30</v>
      </c>
      <c r="J5" s="0" t="n">
        <v>3481000</v>
      </c>
    </row>
    <row r="6" customFormat="false" ht="15" hidden="false" customHeight="false" outlineLevel="0" collapsed="false">
      <c r="A6" s="0" t="s">
        <v>31</v>
      </c>
      <c r="B6" s="0" t="n">
        <v>1480000</v>
      </c>
      <c r="C6" s="0" t="n">
        <v>60</v>
      </c>
      <c r="E6" s="0" t="s">
        <v>32</v>
      </c>
      <c r="F6" s="0" t="n">
        <v>320000</v>
      </c>
      <c r="G6" s="0" t="n">
        <v>40</v>
      </c>
    </row>
    <row r="7" customFormat="false" ht="15" hidden="false" customHeight="false" outlineLevel="0" collapsed="false">
      <c r="A7" s="0" t="s">
        <v>33</v>
      </c>
      <c r="B7" s="0" t="n">
        <v>1380000</v>
      </c>
      <c r="C7" s="0" t="n">
        <v>135</v>
      </c>
      <c r="E7" s="0" t="s">
        <v>34</v>
      </c>
      <c r="F7" s="0" t="n">
        <v>220000</v>
      </c>
      <c r="G7" s="0" t="n">
        <v>55</v>
      </c>
    </row>
    <row r="8" customFormat="false" ht="15" hidden="false" customHeight="false" outlineLevel="0" collapsed="false">
      <c r="A8" s="0" t="s">
        <v>35</v>
      </c>
      <c r="B8" s="0" t="n">
        <v>1635000</v>
      </c>
      <c r="C8" s="0" t="n">
        <v>72</v>
      </c>
    </row>
    <row r="9" customFormat="false" ht="15" hidden="false" customHeight="false" outlineLevel="0" collapsed="false">
      <c r="A9" s="0" t="s">
        <v>36</v>
      </c>
      <c r="B9" s="0" t="n">
        <v>1177000</v>
      </c>
      <c r="C9" s="0" t="n">
        <v>109</v>
      </c>
    </row>
    <row r="10" customFormat="false" ht="15" hidden="false" customHeight="false" outlineLevel="0" collapsed="false">
      <c r="A10" s="0" t="s">
        <v>37</v>
      </c>
      <c r="B10" s="0" t="n">
        <v>2005000</v>
      </c>
      <c r="C10" s="0" t="n">
        <v>97</v>
      </c>
    </row>
    <row r="11" customFormat="false" ht="15" hidden="false" customHeight="false" outlineLevel="0" collapsed="false">
      <c r="A11" s="0" t="s">
        <v>38</v>
      </c>
      <c r="B11" s="0" t="n">
        <v>1785000</v>
      </c>
      <c r="C11" s="0" t="n">
        <v>115</v>
      </c>
    </row>
    <row r="12" customFormat="false" ht="15" hidden="false" customHeight="false" outlineLevel="0" collapsed="false">
      <c r="A12" s="0" t="s">
        <v>39</v>
      </c>
      <c r="B12" s="0" t="n">
        <v>2528000</v>
      </c>
      <c r="C12" s="0" t="n">
        <v>96</v>
      </c>
    </row>
    <row r="13" customFormat="false" ht="15" hidden="false" customHeight="false" outlineLevel="0" collapsed="false">
      <c r="A13" s="0" t="s">
        <v>40</v>
      </c>
      <c r="B13" s="0" t="n">
        <v>3265000</v>
      </c>
      <c r="C13" s="0" t="n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3F58"/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4"/>
  </cols>
  <sheetData>
    <row r="1" customFormat="false" ht="33.75" hidden="false" customHeight="true" outlineLevel="0" collapsed="false">
      <c r="A1" s="17" t="s">
        <v>41</v>
      </c>
      <c r="B1" s="17"/>
      <c r="C1" s="17"/>
      <c r="D1" s="17"/>
      <c r="E1" s="17"/>
      <c r="F1" s="17"/>
      <c r="G1" s="17"/>
      <c r="H1" s="17"/>
      <c r="I1" s="17"/>
    </row>
    <row r="2" customFormat="false" ht="21.75" hidden="false" customHeight="true" outlineLevel="0" collapsed="false">
      <c r="A2" s="18" t="s">
        <v>42</v>
      </c>
      <c r="B2" s="18" t="s">
        <v>43</v>
      </c>
      <c r="C2" s="18" t="s">
        <v>11</v>
      </c>
      <c r="D2" s="18" t="s">
        <v>15</v>
      </c>
      <c r="E2" s="18" t="s">
        <v>14</v>
      </c>
      <c r="F2" s="18" t="s">
        <v>16</v>
      </c>
      <c r="G2" s="18" t="s">
        <v>13</v>
      </c>
      <c r="H2" s="18" t="s">
        <v>44</v>
      </c>
      <c r="I2" s="18" t="s">
        <v>45</v>
      </c>
    </row>
    <row r="3" customFormat="false" ht="16.5" hidden="false" customHeight="true" outlineLevel="0" collapsed="false">
      <c r="A3" s="19" t="s">
        <v>46</v>
      </c>
      <c r="B3" s="19" t="s">
        <v>47</v>
      </c>
      <c r="C3" s="19" t="s">
        <v>48</v>
      </c>
      <c r="D3" s="19" t="s">
        <v>19</v>
      </c>
      <c r="E3" s="19" t="s">
        <v>18</v>
      </c>
      <c r="F3" s="19" t="s">
        <v>20</v>
      </c>
      <c r="G3" s="20" t="n">
        <v>10</v>
      </c>
      <c r="H3" s="21" t="n">
        <v>55000</v>
      </c>
      <c r="I3" s="22" t="n">
        <f aca="false">G3*H3</f>
        <v>550000</v>
      </c>
    </row>
    <row r="4" customFormat="false" ht="16.5" hidden="false" customHeight="true" outlineLevel="0" collapsed="false">
      <c r="A4" s="23" t="s">
        <v>49</v>
      </c>
      <c r="B4" s="23" t="s">
        <v>50</v>
      </c>
      <c r="C4" s="23" t="s">
        <v>48</v>
      </c>
      <c r="D4" s="23" t="s">
        <v>23</v>
      </c>
      <c r="E4" s="23" t="s">
        <v>22</v>
      </c>
      <c r="F4" s="23" t="s">
        <v>20</v>
      </c>
      <c r="G4" s="24" t="n">
        <v>25</v>
      </c>
      <c r="H4" s="25" t="n">
        <v>15000</v>
      </c>
      <c r="I4" s="22" t="n">
        <f aca="false">G4*H4</f>
        <v>375000</v>
      </c>
    </row>
    <row r="5" customFormat="false" ht="16.5" hidden="false" customHeight="true" outlineLevel="0" collapsed="false">
      <c r="A5" s="19" t="s">
        <v>51</v>
      </c>
      <c r="B5" s="19" t="s">
        <v>52</v>
      </c>
      <c r="C5" s="19" t="s">
        <v>48</v>
      </c>
      <c r="D5" s="19" t="s">
        <v>27</v>
      </c>
      <c r="E5" s="19" t="s">
        <v>29</v>
      </c>
      <c r="F5" s="19" t="s">
        <v>24</v>
      </c>
      <c r="G5" s="20" t="n">
        <v>15</v>
      </c>
      <c r="H5" s="21" t="n">
        <v>7500</v>
      </c>
      <c r="I5" s="22" t="n">
        <f aca="false">G5*H5</f>
        <v>112500</v>
      </c>
    </row>
    <row r="6" customFormat="false" ht="16.5" hidden="false" customHeight="true" outlineLevel="0" collapsed="false">
      <c r="A6" s="23" t="s">
        <v>53</v>
      </c>
      <c r="B6" s="23" t="s">
        <v>54</v>
      </c>
      <c r="C6" s="23" t="s">
        <v>48</v>
      </c>
      <c r="D6" s="23" t="s">
        <v>30</v>
      </c>
      <c r="E6" s="23" t="s">
        <v>26</v>
      </c>
      <c r="F6" s="23" t="s">
        <v>20</v>
      </c>
      <c r="G6" s="24" t="n">
        <v>30</v>
      </c>
      <c r="H6" s="25" t="n">
        <v>4000</v>
      </c>
      <c r="I6" s="22" t="n">
        <f aca="false">G6*H6</f>
        <v>120000</v>
      </c>
    </row>
    <row r="7" customFormat="false" ht="16.5" hidden="false" customHeight="true" outlineLevel="0" collapsed="false">
      <c r="A7" s="19" t="s">
        <v>55</v>
      </c>
      <c r="B7" s="19" t="s">
        <v>56</v>
      </c>
      <c r="C7" s="19" t="s">
        <v>57</v>
      </c>
      <c r="D7" s="19" t="s">
        <v>19</v>
      </c>
      <c r="E7" s="19" t="s">
        <v>18</v>
      </c>
      <c r="F7" s="19" t="s">
        <v>20</v>
      </c>
      <c r="G7" s="20" t="n">
        <v>8</v>
      </c>
      <c r="H7" s="21" t="n">
        <v>55000</v>
      </c>
      <c r="I7" s="22" t="n">
        <f aca="false">G7*H7</f>
        <v>440000</v>
      </c>
    </row>
    <row r="8" customFormat="false" ht="16.5" hidden="false" customHeight="true" outlineLevel="0" collapsed="false">
      <c r="A8" s="23" t="s">
        <v>58</v>
      </c>
      <c r="B8" s="23" t="s">
        <v>59</v>
      </c>
      <c r="C8" s="23" t="s">
        <v>57</v>
      </c>
      <c r="D8" s="23" t="s">
        <v>23</v>
      </c>
      <c r="E8" s="23" t="s">
        <v>26</v>
      </c>
      <c r="F8" s="23" t="s">
        <v>20</v>
      </c>
      <c r="G8" s="24" t="n">
        <v>40</v>
      </c>
      <c r="H8" s="25" t="n">
        <v>4000</v>
      </c>
      <c r="I8" s="22" t="n">
        <f aca="false">G8*H8</f>
        <v>160000</v>
      </c>
    </row>
    <row r="9" customFormat="false" ht="16.5" hidden="false" customHeight="true" outlineLevel="0" collapsed="false">
      <c r="A9" s="19" t="s">
        <v>60</v>
      </c>
      <c r="B9" s="19" t="s">
        <v>61</v>
      </c>
      <c r="C9" s="19" t="s">
        <v>57</v>
      </c>
      <c r="D9" s="19" t="s">
        <v>27</v>
      </c>
      <c r="E9" s="19" t="s">
        <v>32</v>
      </c>
      <c r="F9" s="19" t="s">
        <v>24</v>
      </c>
      <c r="G9" s="20" t="n">
        <v>12</v>
      </c>
      <c r="H9" s="21" t="n">
        <v>8000</v>
      </c>
      <c r="I9" s="22" t="n">
        <f aca="false">G9*H9</f>
        <v>96000</v>
      </c>
    </row>
    <row r="10" customFormat="false" ht="16.5" hidden="false" customHeight="true" outlineLevel="0" collapsed="false">
      <c r="A10" s="23" t="s">
        <v>62</v>
      </c>
      <c r="B10" s="23" t="s">
        <v>63</v>
      </c>
      <c r="C10" s="23" t="s">
        <v>57</v>
      </c>
      <c r="D10" s="23" t="s">
        <v>30</v>
      </c>
      <c r="E10" s="23" t="s">
        <v>22</v>
      </c>
      <c r="F10" s="23" t="s">
        <v>20</v>
      </c>
      <c r="G10" s="24" t="n">
        <v>20</v>
      </c>
      <c r="H10" s="25" t="n">
        <v>15000</v>
      </c>
      <c r="I10" s="22" t="n">
        <f aca="false">G10*H10</f>
        <v>300000</v>
      </c>
    </row>
    <row r="11" customFormat="false" ht="16.5" hidden="false" customHeight="true" outlineLevel="0" collapsed="false">
      <c r="A11" s="19" t="s">
        <v>64</v>
      </c>
      <c r="B11" s="19" t="s">
        <v>65</v>
      </c>
      <c r="C11" s="19" t="s">
        <v>66</v>
      </c>
      <c r="D11" s="19" t="s">
        <v>19</v>
      </c>
      <c r="E11" s="19" t="s">
        <v>22</v>
      </c>
      <c r="F11" s="19" t="s">
        <v>20</v>
      </c>
      <c r="G11" s="20" t="n">
        <v>30</v>
      </c>
      <c r="H11" s="21" t="n">
        <v>15000</v>
      </c>
      <c r="I11" s="22" t="n">
        <f aca="false">G11*H11</f>
        <v>450000</v>
      </c>
    </row>
    <row r="12" customFormat="false" ht="16.5" hidden="false" customHeight="true" outlineLevel="0" collapsed="false">
      <c r="A12" s="23" t="s">
        <v>67</v>
      </c>
      <c r="B12" s="23" t="s">
        <v>68</v>
      </c>
      <c r="C12" s="23" t="s">
        <v>66</v>
      </c>
      <c r="D12" s="23" t="s">
        <v>23</v>
      </c>
      <c r="E12" s="23" t="s">
        <v>18</v>
      </c>
      <c r="F12" s="23" t="s">
        <v>20</v>
      </c>
      <c r="G12" s="24" t="n">
        <v>12</v>
      </c>
      <c r="H12" s="25" t="n">
        <v>55000</v>
      </c>
      <c r="I12" s="22" t="n">
        <f aca="false">G12*H12</f>
        <v>660000</v>
      </c>
    </row>
    <row r="13" customFormat="false" ht="16.5" hidden="false" customHeight="true" outlineLevel="0" collapsed="false">
      <c r="A13" s="19" t="s">
        <v>69</v>
      </c>
      <c r="B13" s="19" t="s">
        <v>70</v>
      </c>
      <c r="C13" s="19" t="s">
        <v>66</v>
      </c>
      <c r="D13" s="19" t="s">
        <v>27</v>
      </c>
      <c r="E13" s="19" t="s">
        <v>34</v>
      </c>
      <c r="F13" s="19" t="s">
        <v>24</v>
      </c>
      <c r="G13" s="20" t="n">
        <v>20</v>
      </c>
      <c r="H13" s="21" t="n">
        <v>4000</v>
      </c>
      <c r="I13" s="22" t="n">
        <f aca="false">G13*H13</f>
        <v>80000</v>
      </c>
    </row>
    <row r="14" customFormat="false" ht="16.5" hidden="false" customHeight="true" outlineLevel="0" collapsed="false">
      <c r="A14" s="23" t="s">
        <v>71</v>
      </c>
      <c r="B14" s="23" t="s">
        <v>72</v>
      </c>
      <c r="C14" s="23" t="s">
        <v>73</v>
      </c>
      <c r="D14" s="23" t="s">
        <v>30</v>
      </c>
      <c r="E14" s="23" t="s">
        <v>26</v>
      </c>
      <c r="F14" s="23" t="s">
        <v>20</v>
      </c>
      <c r="G14" s="24" t="n">
        <v>50</v>
      </c>
      <c r="H14" s="25" t="n">
        <v>4000</v>
      </c>
      <c r="I14" s="22" t="n">
        <f aca="false">G14*H14</f>
        <v>200000</v>
      </c>
    </row>
    <row r="15" customFormat="false" ht="16.5" hidden="false" customHeight="true" outlineLevel="0" collapsed="false">
      <c r="A15" s="19" t="s">
        <v>74</v>
      </c>
      <c r="B15" s="19" t="s">
        <v>75</v>
      </c>
      <c r="C15" s="19" t="s">
        <v>73</v>
      </c>
      <c r="D15" s="19" t="s">
        <v>19</v>
      </c>
      <c r="E15" s="19" t="s">
        <v>22</v>
      </c>
      <c r="F15" s="19" t="s">
        <v>20</v>
      </c>
      <c r="G15" s="20" t="n">
        <v>28</v>
      </c>
      <c r="H15" s="21" t="n">
        <v>15000</v>
      </c>
      <c r="I15" s="22" t="n">
        <f aca="false">G15*H15</f>
        <v>420000</v>
      </c>
    </row>
    <row r="16" customFormat="false" ht="16.5" hidden="false" customHeight="true" outlineLevel="0" collapsed="false">
      <c r="A16" s="23" t="s">
        <v>76</v>
      </c>
      <c r="B16" s="23" t="s">
        <v>77</v>
      </c>
      <c r="C16" s="23" t="s">
        <v>73</v>
      </c>
      <c r="D16" s="23" t="s">
        <v>23</v>
      </c>
      <c r="E16" s="23" t="s">
        <v>29</v>
      </c>
      <c r="F16" s="23" t="s">
        <v>24</v>
      </c>
      <c r="G16" s="24" t="n">
        <v>18</v>
      </c>
      <c r="H16" s="25" t="n">
        <v>7500</v>
      </c>
      <c r="I16" s="22" t="n">
        <f aca="false">G16*H16</f>
        <v>135000</v>
      </c>
    </row>
    <row r="17" customFormat="false" ht="16.5" hidden="false" customHeight="true" outlineLevel="0" collapsed="false">
      <c r="A17" s="19" t="s">
        <v>78</v>
      </c>
      <c r="B17" s="19" t="s">
        <v>79</v>
      </c>
      <c r="C17" s="19" t="s">
        <v>31</v>
      </c>
      <c r="D17" s="19" t="s">
        <v>27</v>
      </c>
      <c r="E17" s="19" t="s">
        <v>18</v>
      </c>
      <c r="F17" s="19" t="s">
        <v>20</v>
      </c>
      <c r="G17" s="20" t="n">
        <v>15</v>
      </c>
      <c r="H17" s="21" t="n">
        <v>55000</v>
      </c>
      <c r="I17" s="22" t="n">
        <f aca="false">G17*H17</f>
        <v>825000</v>
      </c>
    </row>
    <row r="18" customFormat="false" ht="16.5" hidden="false" customHeight="true" outlineLevel="0" collapsed="false">
      <c r="A18" s="23" t="s">
        <v>80</v>
      </c>
      <c r="B18" s="23" t="s">
        <v>81</v>
      </c>
      <c r="C18" s="23" t="s">
        <v>31</v>
      </c>
      <c r="D18" s="23" t="s">
        <v>30</v>
      </c>
      <c r="E18" s="23" t="s">
        <v>32</v>
      </c>
      <c r="F18" s="23" t="s">
        <v>24</v>
      </c>
      <c r="G18" s="24" t="n">
        <v>10</v>
      </c>
      <c r="H18" s="25" t="n">
        <v>8000</v>
      </c>
      <c r="I18" s="22" t="n">
        <f aca="false">G18*H18</f>
        <v>80000</v>
      </c>
    </row>
    <row r="19" customFormat="false" ht="16.5" hidden="false" customHeight="true" outlineLevel="0" collapsed="false">
      <c r="A19" s="19" t="s">
        <v>82</v>
      </c>
      <c r="B19" s="19" t="s">
        <v>83</v>
      </c>
      <c r="C19" s="19" t="s">
        <v>31</v>
      </c>
      <c r="D19" s="19" t="s">
        <v>19</v>
      </c>
      <c r="E19" s="19" t="s">
        <v>22</v>
      </c>
      <c r="F19" s="19" t="s">
        <v>20</v>
      </c>
      <c r="G19" s="20" t="n">
        <v>35</v>
      </c>
      <c r="H19" s="21" t="n">
        <v>15000</v>
      </c>
      <c r="I19" s="22" t="n">
        <f aca="false">G19*H19</f>
        <v>525000</v>
      </c>
    </row>
    <row r="20" customFormat="false" ht="16.5" hidden="false" customHeight="true" outlineLevel="0" collapsed="false">
      <c r="A20" s="23" t="s">
        <v>84</v>
      </c>
      <c r="B20" s="23" t="s">
        <v>85</v>
      </c>
      <c r="C20" s="23" t="s">
        <v>86</v>
      </c>
      <c r="D20" s="23" t="s">
        <v>23</v>
      </c>
      <c r="E20" s="23" t="s">
        <v>26</v>
      </c>
      <c r="F20" s="23" t="s">
        <v>20</v>
      </c>
      <c r="G20" s="24" t="n">
        <v>60</v>
      </c>
      <c r="H20" s="25" t="n">
        <v>4000</v>
      </c>
      <c r="I20" s="22" t="n">
        <f aca="false">G20*H20</f>
        <v>240000</v>
      </c>
    </row>
    <row r="21" customFormat="false" ht="16.5" hidden="false" customHeight="true" outlineLevel="0" collapsed="false">
      <c r="A21" s="19" t="s">
        <v>87</v>
      </c>
      <c r="B21" s="19" t="s">
        <v>88</v>
      </c>
      <c r="C21" s="19" t="s">
        <v>86</v>
      </c>
      <c r="D21" s="19" t="s">
        <v>27</v>
      </c>
      <c r="E21" s="19" t="s">
        <v>18</v>
      </c>
      <c r="F21" s="19" t="s">
        <v>20</v>
      </c>
      <c r="G21" s="20" t="n">
        <v>20</v>
      </c>
      <c r="H21" s="21" t="n">
        <v>55000</v>
      </c>
      <c r="I21" s="22" t="n">
        <f aca="false">G21*H21</f>
        <v>1100000</v>
      </c>
    </row>
    <row r="22" customFormat="false" ht="16.5" hidden="false" customHeight="true" outlineLevel="0" collapsed="false">
      <c r="A22" s="23" t="s">
        <v>89</v>
      </c>
      <c r="B22" s="23" t="s">
        <v>90</v>
      </c>
      <c r="C22" s="23" t="s">
        <v>86</v>
      </c>
      <c r="D22" s="23" t="s">
        <v>30</v>
      </c>
      <c r="E22" s="23" t="s">
        <v>34</v>
      </c>
      <c r="F22" s="23" t="s">
        <v>24</v>
      </c>
      <c r="G22" s="24" t="n">
        <v>25</v>
      </c>
      <c r="H22" s="25" t="n">
        <v>4000</v>
      </c>
      <c r="I22" s="22" t="n">
        <f aca="false">G22*H22</f>
        <v>100000</v>
      </c>
    </row>
    <row r="23" customFormat="false" ht="16.5" hidden="false" customHeight="true" outlineLevel="0" collapsed="false">
      <c r="A23" s="19" t="s">
        <v>91</v>
      </c>
      <c r="B23" s="19" t="s">
        <v>92</v>
      </c>
      <c r="C23" s="19" t="s">
        <v>93</v>
      </c>
      <c r="D23" s="19" t="s">
        <v>19</v>
      </c>
      <c r="E23" s="19" t="s">
        <v>22</v>
      </c>
      <c r="F23" s="19" t="s">
        <v>20</v>
      </c>
      <c r="G23" s="20" t="n">
        <v>32</v>
      </c>
      <c r="H23" s="21" t="n">
        <v>15000</v>
      </c>
      <c r="I23" s="22" t="n">
        <f aca="false">G23*H23</f>
        <v>480000</v>
      </c>
    </row>
    <row r="24" customFormat="false" ht="16.5" hidden="false" customHeight="true" outlineLevel="0" collapsed="false">
      <c r="A24" s="23" t="s">
        <v>94</v>
      </c>
      <c r="B24" s="23" t="s">
        <v>95</v>
      </c>
      <c r="C24" s="23" t="s">
        <v>93</v>
      </c>
      <c r="D24" s="23" t="s">
        <v>23</v>
      </c>
      <c r="E24" s="23" t="s">
        <v>29</v>
      </c>
      <c r="F24" s="23" t="s">
        <v>24</v>
      </c>
      <c r="G24" s="24" t="n">
        <v>22</v>
      </c>
      <c r="H24" s="25" t="n">
        <v>7500</v>
      </c>
      <c r="I24" s="22" t="n">
        <f aca="false">G24*H24</f>
        <v>165000</v>
      </c>
    </row>
    <row r="25" customFormat="false" ht="16.5" hidden="false" customHeight="true" outlineLevel="0" collapsed="false">
      <c r="A25" s="19" t="s">
        <v>96</v>
      </c>
      <c r="B25" s="19" t="s">
        <v>97</v>
      </c>
      <c r="C25" s="19" t="s">
        <v>93</v>
      </c>
      <c r="D25" s="19" t="s">
        <v>27</v>
      </c>
      <c r="E25" s="19" t="s">
        <v>18</v>
      </c>
      <c r="F25" s="19" t="s">
        <v>20</v>
      </c>
      <c r="G25" s="20" t="n">
        <v>18</v>
      </c>
      <c r="H25" s="21" t="n">
        <v>55000</v>
      </c>
      <c r="I25" s="22" t="n">
        <f aca="false">G25*H25</f>
        <v>990000</v>
      </c>
    </row>
    <row r="26" customFormat="false" ht="16.5" hidden="false" customHeight="true" outlineLevel="0" collapsed="false">
      <c r="A26" s="23" t="s">
        <v>98</v>
      </c>
      <c r="B26" s="23" t="s">
        <v>99</v>
      </c>
      <c r="C26" s="23" t="s">
        <v>100</v>
      </c>
      <c r="D26" s="23" t="s">
        <v>30</v>
      </c>
      <c r="E26" s="23" t="s">
        <v>26</v>
      </c>
      <c r="F26" s="23" t="s">
        <v>20</v>
      </c>
      <c r="G26" s="24" t="n">
        <v>55</v>
      </c>
      <c r="H26" s="25" t="n">
        <v>4000</v>
      </c>
      <c r="I26" s="22" t="n">
        <f aca="false">G26*H26</f>
        <v>220000</v>
      </c>
    </row>
    <row r="27" customFormat="false" ht="16.5" hidden="false" customHeight="true" outlineLevel="0" collapsed="false">
      <c r="A27" s="19" t="s">
        <v>101</v>
      </c>
      <c r="B27" s="19" t="s">
        <v>102</v>
      </c>
      <c r="C27" s="19" t="s">
        <v>100</v>
      </c>
      <c r="D27" s="19" t="s">
        <v>19</v>
      </c>
      <c r="E27" s="19" t="s">
        <v>32</v>
      </c>
      <c r="F27" s="19" t="s">
        <v>24</v>
      </c>
      <c r="G27" s="20" t="n">
        <v>14</v>
      </c>
      <c r="H27" s="21" t="n">
        <v>8000</v>
      </c>
      <c r="I27" s="22" t="n">
        <f aca="false">G27*H27</f>
        <v>112000</v>
      </c>
    </row>
    <row r="28" customFormat="false" ht="16.5" hidden="false" customHeight="true" outlineLevel="0" collapsed="false">
      <c r="A28" s="23" t="s">
        <v>103</v>
      </c>
      <c r="B28" s="23" t="s">
        <v>104</v>
      </c>
      <c r="C28" s="23" t="s">
        <v>100</v>
      </c>
      <c r="D28" s="23" t="s">
        <v>23</v>
      </c>
      <c r="E28" s="23" t="s">
        <v>22</v>
      </c>
      <c r="F28" s="23" t="s">
        <v>20</v>
      </c>
      <c r="G28" s="24" t="n">
        <v>40</v>
      </c>
      <c r="H28" s="25" t="n">
        <v>15000</v>
      </c>
      <c r="I28" s="22" t="n">
        <f aca="false">G28*H28</f>
        <v>600000</v>
      </c>
    </row>
    <row r="29" customFormat="false" ht="16.5" hidden="false" customHeight="true" outlineLevel="0" collapsed="false">
      <c r="A29" s="19" t="s">
        <v>105</v>
      </c>
      <c r="B29" s="19" t="s">
        <v>106</v>
      </c>
      <c r="C29" s="19" t="s">
        <v>107</v>
      </c>
      <c r="D29" s="19" t="s">
        <v>27</v>
      </c>
      <c r="E29" s="19" t="s">
        <v>18</v>
      </c>
      <c r="F29" s="19" t="s">
        <v>20</v>
      </c>
      <c r="G29" s="20" t="n">
        <v>22</v>
      </c>
      <c r="H29" s="21" t="n">
        <v>55000</v>
      </c>
      <c r="I29" s="22" t="n">
        <f aca="false">G29*H29</f>
        <v>1210000</v>
      </c>
    </row>
    <row r="30" customFormat="false" ht="16.5" hidden="false" customHeight="true" outlineLevel="0" collapsed="false">
      <c r="A30" s="23" t="s">
        <v>108</v>
      </c>
      <c r="B30" s="23" t="s">
        <v>109</v>
      </c>
      <c r="C30" s="23" t="s">
        <v>107</v>
      </c>
      <c r="D30" s="23" t="s">
        <v>30</v>
      </c>
      <c r="E30" s="23" t="s">
        <v>34</v>
      </c>
      <c r="F30" s="23" t="s">
        <v>24</v>
      </c>
      <c r="G30" s="24" t="n">
        <v>30</v>
      </c>
      <c r="H30" s="25" t="n">
        <v>4000</v>
      </c>
      <c r="I30" s="22" t="n">
        <f aca="false">G30*H30</f>
        <v>120000</v>
      </c>
    </row>
    <row r="31" customFormat="false" ht="16.5" hidden="false" customHeight="true" outlineLevel="0" collapsed="false">
      <c r="A31" s="19" t="s">
        <v>110</v>
      </c>
      <c r="B31" s="19" t="s">
        <v>111</v>
      </c>
      <c r="C31" s="19" t="s">
        <v>107</v>
      </c>
      <c r="D31" s="19" t="s">
        <v>19</v>
      </c>
      <c r="E31" s="19" t="s">
        <v>22</v>
      </c>
      <c r="F31" s="19" t="s">
        <v>20</v>
      </c>
      <c r="G31" s="20" t="n">
        <v>45</v>
      </c>
      <c r="H31" s="21" t="n">
        <v>15000</v>
      </c>
      <c r="I31" s="22" t="n">
        <f aca="false">G31*H31</f>
        <v>675000</v>
      </c>
    </row>
    <row r="32" customFormat="false" ht="16.5" hidden="false" customHeight="true" outlineLevel="0" collapsed="false">
      <c r="A32" s="23" t="s">
        <v>112</v>
      </c>
      <c r="B32" s="23" t="s">
        <v>113</v>
      </c>
      <c r="C32" s="23" t="s">
        <v>114</v>
      </c>
      <c r="D32" s="23" t="s">
        <v>23</v>
      </c>
      <c r="E32" s="23" t="s">
        <v>26</v>
      </c>
      <c r="F32" s="23" t="s">
        <v>20</v>
      </c>
      <c r="G32" s="24" t="n">
        <v>70</v>
      </c>
      <c r="H32" s="25" t="n">
        <v>4000</v>
      </c>
      <c r="I32" s="22" t="n">
        <f aca="false">G32*H32</f>
        <v>280000</v>
      </c>
    </row>
    <row r="33" customFormat="false" ht="16.5" hidden="false" customHeight="true" outlineLevel="0" collapsed="false">
      <c r="A33" s="19" t="s">
        <v>115</v>
      </c>
      <c r="B33" s="19" t="s">
        <v>116</v>
      </c>
      <c r="C33" s="19" t="s">
        <v>114</v>
      </c>
      <c r="D33" s="19" t="s">
        <v>27</v>
      </c>
      <c r="E33" s="19" t="s">
        <v>18</v>
      </c>
      <c r="F33" s="19" t="s">
        <v>20</v>
      </c>
      <c r="G33" s="20" t="n">
        <v>25</v>
      </c>
      <c r="H33" s="21" t="n">
        <v>55000</v>
      </c>
      <c r="I33" s="22" t="n">
        <f aca="false">G33*H33</f>
        <v>1375000</v>
      </c>
    </row>
    <row r="34" customFormat="false" ht="16.5" hidden="false" customHeight="true" outlineLevel="0" collapsed="false">
      <c r="A34" s="23" t="s">
        <v>117</v>
      </c>
      <c r="B34" s="23" t="s">
        <v>118</v>
      </c>
      <c r="C34" s="23" t="s">
        <v>114</v>
      </c>
      <c r="D34" s="23" t="s">
        <v>30</v>
      </c>
      <c r="E34" s="23" t="s">
        <v>29</v>
      </c>
      <c r="F34" s="23" t="s">
        <v>24</v>
      </c>
      <c r="G34" s="24" t="n">
        <v>20</v>
      </c>
      <c r="H34" s="25" t="n">
        <v>7500</v>
      </c>
      <c r="I34" s="22" t="n">
        <f aca="false">G34*H34</f>
        <v>150000</v>
      </c>
    </row>
    <row r="35" customFormat="false" ht="16.5" hidden="false" customHeight="true" outlineLevel="0" collapsed="false">
      <c r="A35" s="19" t="s">
        <v>119</v>
      </c>
      <c r="B35" s="19" t="s">
        <v>120</v>
      </c>
      <c r="C35" s="19" t="s">
        <v>121</v>
      </c>
      <c r="D35" s="19" t="s">
        <v>19</v>
      </c>
      <c r="E35" s="19" t="s">
        <v>22</v>
      </c>
      <c r="F35" s="19" t="s">
        <v>20</v>
      </c>
      <c r="G35" s="20" t="n">
        <v>50</v>
      </c>
      <c r="H35" s="21" t="n">
        <v>15000</v>
      </c>
      <c r="I35" s="22" t="n">
        <f aca="false">G35*H35</f>
        <v>750000</v>
      </c>
    </row>
    <row r="36" customFormat="false" ht="16.5" hidden="false" customHeight="true" outlineLevel="0" collapsed="false">
      <c r="A36" s="23" t="s">
        <v>122</v>
      </c>
      <c r="B36" s="23" t="s">
        <v>123</v>
      </c>
      <c r="C36" s="23" t="s">
        <v>121</v>
      </c>
      <c r="D36" s="23" t="s">
        <v>23</v>
      </c>
      <c r="E36" s="23" t="s">
        <v>32</v>
      </c>
      <c r="F36" s="23" t="s">
        <v>24</v>
      </c>
      <c r="G36" s="24" t="n">
        <v>16</v>
      </c>
      <c r="H36" s="25" t="n">
        <v>8000</v>
      </c>
      <c r="I36" s="22" t="n">
        <f aca="false">G36*H36</f>
        <v>128000</v>
      </c>
    </row>
    <row r="37" customFormat="false" ht="16.5" hidden="false" customHeight="true" outlineLevel="0" collapsed="false">
      <c r="A37" s="19" t="s">
        <v>124</v>
      </c>
      <c r="B37" s="19" t="s">
        <v>125</v>
      </c>
      <c r="C37" s="19" t="s">
        <v>121</v>
      </c>
      <c r="D37" s="19" t="s">
        <v>27</v>
      </c>
      <c r="E37" s="19" t="s">
        <v>18</v>
      </c>
      <c r="F37" s="19" t="s">
        <v>20</v>
      </c>
      <c r="G37" s="20" t="n">
        <v>30</v>
      </c>
      <c r="H37" s="21" t="n">
        <v>55000</v>
      </c>
      <c r="I37" s="22" t="n">
        <f aca="false">G37*H37</f>
        <v>1650000</v>
      </c>
    </row>
    <row r="38" customFormat="false" ht="16.5" hidden="false" customHeight="true" outlineLevel="0" collapsed="false">
      <c r="A38" s="23" t="s">
        <v>126</v>
      </c>
      <c r="B38" s="23" t="s">
        <v>127</v>
      </c>
      <c r="C38" s="23" t="s">
        <v>128</v>
      </c>
      <c r="D38" s="23" t="s">
        <v>30</v>
      </c>
      <c r="E38" s="23" t="s">
        <v>26</v>
      </c>
      <c r="F38" s="23" t="s">
        <v>20</v>
      </c>
      <c r="G38" s="24" t="n">
        <v>80</v>
      </c>
      <c r="H38" s="25" t="n">
        <v>4000</v>
      </c>
      <c r="I38" s="22" t="n">
        <f aca="false">G38*H38</f>
        <v>320000</v>
      </c>
    </row>
    <row r="39" customFormat="false" ht="16.5" hidden="false" customHeight="true" outlineLevel="0" collapsed="false">
      <c r="A39" s="19" t="s">
        <v>129</v>
      </c>
      <c r="B39" s="19" t="s">
        <v>130</v>
      </c>
      <c r="C39" s="19" t="s">
        <v>128</v>
      </c>
      <c r="D39" s="19" t="s">
        <v>19</v>
      </c>
      <c r="E39" s="19" t="s">
        <v>22</v>
      </c>
      <c r="F39" s="19" t="s">
        <v>20</v>
      </c>
      <c r="G39" s="20" t="n">
        <v>60</v>
      </c>
      <c r="H39" s="21" t="n">
        <v>15000</v>
      </c>
      <c r="I39" s="22" t="n">
        <f aca="false">G39*H39</f>
        <v>900000</v>
      </c>
    </row>
    <row r="40" customFormat="false" ht="16.5" hidden="false" customHeight="true" outlineLevel="0" collapsed="false">
      <c r="A40" s="23" t="s">
        <v>131</v>
      </c>
      <c r="B40" s="23" t="s">
        <v>132</v>
      </c>
      <c r="C40" s="23" t="s">
        <v>128</v>
      </c>
      <c r="D40" s="23" t="s">
        <v>23</v>
      </c>
      <c r="E40" s="23" t="s">
        <v>18</v>
      </c>
      <c r="F40" s="23" t="s">
        <v>20</v>
      </c>
      <c r="G40" s="24" t="n">
        <v>35</v>
      </c>
      <c r="H40" s="25" t="n">
        <v>55000</v>
      </c>
      <c r="I40" s="22" t="n">
        <f aca="false">G40*H40</f>
        <v>1925000</v>
      </c>
    </row>
    <row r="41" customFormat="false" ht="21.75" hidden="false" customHeight="true" outlineLevel="0" collapsed="false">
      <c r="A41" s="26" t="s">
        <v>133</v>
      </c>
      <c r="B41" s="26"/>
      <c r="C41" s="26"/>
      <c r="D41" s="26"/>
      <c r="E41" s="26"/>
      <c r="F41" s="26"/>
      <c r="G41" s="27" t="n">
        <f aca="false">SUM(G3:G40)</f>
        <v>1147</v>
      </c>
      <c r="H41" s="26"/>
      <c r="I41" s="28" t="n">
        <f aca="false">SUM(I3:I40)</f>
        <v>19018500</v>
      </c>
    </row>
  </sheetData>
  <mergeCells count="1">
    <mergeCell ref="A1:I1"/>
  </mergeCells>
  <conditionalFormatting sqref="I3:I40">
    <cfRule type="dataBar" priority="2">
      <dataBar showValue="1" minLength="10" maxLength="90">
        <cfvo type="num" val="0"/>
        <cfvo type="max" val="0"/>
        <color rgb="FF00B4D8"/>
      </dataBar>
      <extLst>
        <ext xmlns:x14="http://schemas.microsoft.com/office/spreadsheetml/2009/9/main" uri="{B025F937-C7B1-47D3-B67F-A62EFF666E3E}">
          <x14:id>{BA3D816D-EB19-486A-BABB-10CE6FA9D272}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D816D-EB19-486A-BABB-10CE6FA9D272}">
            <x14:dataBar minLength="10" maxLength="90" axisPosition="none" gradient="true">
              <x14:cfvo type="num">
                <xm:f>0</xm:f>
              </x14:cfvo>
              <x14:cfvo type="max"/>
              <x14:negativeFillColor rgb="FF00B4D8"/>
              <x14:axisColor rgb="FF000000"/>
            </x14:dataBar>
          </x14:cfRule>
          <xm:sqref>I3:I40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D8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5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1"/>
  </cols>
  <sheetData>
    <row r="1" customFormat="false" ht="31.5" hidden="false" customHeight="true" outlineLevel="0" collapsed="false">
      <c r="A1" s="29" t="s">
        <v>134</v>
      </c>
      <c r="B1" s="29"/>
      <c r="C1" s="29"/>
      <c r="D1" s="29"/>
      <c r="E1" s="29"/>
      <c r="F1" s="29"/>
      <c r="G1" s="29"/>
    </row>
    <row r="2" customFormat="false" ht="21.75" hidden="false" customHeight="true" outlineLevel="0" collapsed="false">
      <c r="A2" s="18" t="s">
        <v>11</v>
      </c>
      <c r="B2" s="18" t="s">
        <v>13</v>
      </c>
      <c r="C2" s="18" t="s">
        <v>45</v>
      </c>
      <c r="D2" s="18" t="s">
        <v>135</v>
      </c>
      <c r="E2" s="18" t="s">
        <v>136</v>
      </c>
      <c r="F2" s="18" t="s">
        <v>137</v>
      </c>
      <c r="G2" s="18" t="s">
        <v>138</v>
      </c>
    </row>
    <row r="3" customFormat="false" ht="16.5" hidden="false" customHeight="true" outlineLevel="0" collapsed="false">
      <c r="A3" s="19" t="s">
        <v>48</v>
      </c>
      <c r="B3" s="20" t="n">
        <f aca="false">SUMIF('📋 Sales Data'!C:C,A3,'📋 Sales Data'!G:G)</f>
        <v>80</v>
      </c>
      <c r="C3" s="21" t="n">
        <f aca="false">SUMIF('📋 Sales Data'!C:C,A3,'📋 Sales Data'!I:I)</f>
        <v>1157500</v>
      </c>
      <c r="D3" s="19" t="s">
        <v>139</v>
      </c>
      <c r="E3" s="19" t="s">
        <v>139</v>
      </c>
      <c r="F3" s="21" t="n">
        <f aca="false">SUM($C$3:C3)</f>
        <v>1157500</v>
      </c>
      <c r="G3" s="30" t="n">
        <f aca="false">IFERROR(C3/SUM($C$3:$C$14),0)</f>
        <v>0.0608617924652312</v>
      </c>
    </row>
    <row r="4" customFormat="false" ht="16.5" hidden="false" customHeight="true" outlineLevel="0" collapsed="false">
      <c r="A4" s="23" t="s">
        <v>57</v>
      </c>
      <c r="B4" s="24" t="n">
        <f aca="false">SUMIF('📋 Sales Data'!C:C,A4,'📋 Sales Data'!G:G)</f>
        <v>80</v>
      </c>
      <c r="C4" s="25" t="n">
        <f aca="false">SUMIF('📋 Sales Data'!C:C,A4,'📋 Sales Data'!I:I)</f>
        <v>996000</v>
      </c>
      <c r="D4" s="25" t="n">
        <f aca="false">C3</f>
        <v>1157500</v>
      </c>
      <c r="E4" s="31" t="n">
        <f aca="false">IFERROR((C4-C3)/C3,0)</f>
        <v>-0.139524838012959</v>
      </c>
      <c r="F4" s="25" t="n">
        <f aca="false">SUM($C$3:C4)</f>
        <v>2153500</v>
      </c>
      <c r="G4" s="31" t="n">
        <f aca="false">IFERROR(C4/SUM($C$3:$C$14),0)</f>
        <v>0.0523700607303415</v>
      </c>
    </row>
    <row r="5" customFormat="false" ht="16.5" hidden="false" customHeight="true" outlineLevel="0" collapsed="false">
      <c r="A5" s="19" t="s">
        <v>66</v>
      </c>
      <c r="B5" s="20" t="n">
        <f aca="false">SUMIF('📋 Sales Data'!C:C,A5,'📋 Sales Data'!G:G)</f>
        <v>62</v>
      </c>
      <c r="C5" s="21" t="n">
        <f aca="false">SUMIF('📋 Sales Data'!C:C,A5,'📋 Sales Data'!I:I)</f>
        <v>1190000</v>
      </c>
      <c r="D5" s="21" t="n">
        <f aca="false">C4</f>
        <v>996000</v>
      </c>
      <c r="E5" s="30" t="n">
        <f aca="false">IFERROR((C5-C4)/C4,0)</f>
        <v>0.194779116465863</v>
      </c>
      <c r="F5" s="21" t="n">
        <f aca="false">SUM($C$3:C5)</f>
        <v>3343500</v>
      </c>
      <c r="G5" s="30" t="n">
        <f aca="false">IFERROR(C5/SUM($C$3:$C$14),0)</f>
        <v>0.062570654888661</v>
      </c>
    </row>
    <row r="6" customFormat="false" ht="16.5" hidden="false" customHeight="true" outlineLevel="0" collapsed="false">
      <c r="A6" s="23" t="s">
        <v>73</v>
      </c>
      <c r="B6" s="24" t="n">
        <f aca="false">SUMIF('📋 Sales Data'!C:C,A6,'📋 Sales Data'!G:G)</f>
        <v>96</v>
      </c>
      <c r="C6" s="25" t="n">
        <f aca="false">SUMIF('📋 Sales Data'!C:C,A6,'📋 Sales Data'!I:I)</f>
        <v>755000</v>
      </c>
      <c r="D6" s="25" t="n">
        <f aca="false">C5</f>
        <v>1190000</v>
      </c>
      <c r="E6" s="31" t="n">
        <f aca="false">IFERROR((C6-C5)/C5,0)</f>
        <v>-0.365546218487395</v>
      </c>
      <c r="F6" s="25" t="n">
        <f aca="false">SUM($C$3:C6)</f>
        <v>4098500</v>
      </c>
      <c r="G6" s="31" t="n">
        <f aca="false">IFERROR(C6/SUM($C$3:$C$14),0)</f>
        <v>0.0396981886058312</v>
      </c>
    </row>
    <row r="7" customFormat="false" ht="16.5" hidden="false" customHeight="true" outlineLevel="0" collapsed="false">
      <c r="A7" s="19" t="s">
        <v>31</v>
      </c>
      <c r="B7" s="20" t="n">
        <f aca="false">SUMIF('📋 Sales Data'!C:C,A7,'📋 Sales Data'!G:G)</f>
        <v>60</v>
      </c>
      <c r="C7" s="21" t="n">
        <f aca="false">SUMIF('📋 Sales Data'!C:C,A7,'📋 Sales Data'!I:I)</f>
        <v>1430000</v>
      </c>
      <c r="D7" s="21" t="n">
        <f aca="false">C6</f>
        <v>755000</v>
      </c>
      <c r="E7" s="30" t="n">
        <f aca="false">IFERROR((C7-C6)/C6,0)</f>
        <v>0.894039735099338</v>
      </c>
      <c r="F7" s="21" t="n">
        <f aca="false">SUM($C$3:C7)</f>
        <v>5528500</v>
      </c>
      <c r="G7" s="30" t="n">
        <f aca="false">IFERROR(C7/SUM($C$3:$C$14),0)</f>
        <v>0.075189946630912</v>
      </c>
    </row>
    <row r="8" customFormat="false" ht="16.5" hidden="false" customHeight="true" outlineLevel="0" collapsed="false">
      <c r="A8" s="23" t="s">
        <v>86</v>
      </c>
      <c r="B8" s="24" t="n">
        <f aca="false">SUMIF('📋 Sales Data'!C:C,A8,'📋 Sales Data'!G:G)</f>
        <v>105</v>
      </c>
      <c r="C8" s="25" t="n">
        <f aca="false">SUMIF('📋 Sales Data'!C:C,A8,'📋 Sales Data'!I:I)</f>
        <v>1440000</v>
      </c>
      <c r="D8" s="25" t="n">
        <f aca="false">C7</f>
        <v>1430000</v>
      </c>
      <c r="E8" s="31" t="n">
        <f aca="false">IFERROR((C8-C7)/C7,0)</f>
        <v>0.00699300699300699</v>
      </c>
      <c r="F8" s="25" t="n">
        <f aca="false">SUM($C$3:C8)</f>
        <v>6968500</v>
      </c>
      <c r="G8" s="31" t="n">
        <f aca="false">IFERROR(C8/SUM($C$3:$C$14),0)</f>
        <v>0.0757157504535058</v>
      </c>
    </row>
    <row r="9" customFormat="false" ht="16.5" hidden="false" customHeight="true" outlineLevel="0" collapsed="false">
      <c r="A9" s="19" t="s">
        <v>93</v>
      </c>
      <c r="B9" s="20" t="n">
        <f aca="false">SUMIF('📋 Sales Data'!C:C,A9,'📋 Sales Data'!G:G)</f>
        <v>72</v>
      </c>
      <c r="C9" s="21" t="n">
        <f aca="false">SUMIF('📋 Sales Data'!C:C,A9,'📋 Sales Data'!I:I)</f>
        <v>1635000</v>
      </c>
      <c r="D9" s="21" t="n">
        <f aca="false">C8</f>
        <v>1440000</v>
      </c>
      <c r="E9" s="30" t="n">
        <f aca="false">IFERROR((C9-C8)/C8,0)</f>
        <v>0.135416666666667</v>
      </c>
      <c r="F9" s="21" t="n">
        <f aca="false">SUM($C$3:C9)</f>
        <v>8603500</v>
      </c>
      <c r="G9" s="30" t="n">
        <f aca="false">IFERROR(C9/SUM($C$3:$C$14),0)</f>
        <v>0.0859689249940847</v>
      </c>
    </row>
    <row r="10" customFormat="false" ht="16.5" hidden="false" customHeight="true" outlineLevel="0" collapsed="false">
      <c r="A10" s="23" t="s">
        <v>100</v>
      </c>
      <c r="B10" s="24" t="n">
        <f aca="false">SUMIF('📋 Sales Data'!C:C,A10,'📋 Sales Data'!G:G)</f>
        <v>109</v>
      </c>
      <c r="C10" s="25" t="n">
        <f aca="false">SUMIF('📋 Sales Data'!C:C,A10,'📋 Sales Data'!I:I)</f>
        <v>932000</v>
      </c>
      <c r="D10" s="25" t="n">
        <f aca="false">C9</f>
        <v>1635000</v>
      </c>
      <c r="E10" s="31" t="n">
        <f aca="false">IFERROR((C10-C9)/C9,0)</f>
        <v>-0.429969418960245</v>
      </c>
      <c r="F10" s="25" t="n">
        <f aca="false">SUM($C$3:C10)</f>
        <v>9535500</v>
      </c>
      <c r="G10" s="31" t="n">
        <f aca="false">IFERROR(C10/SUM($C$3:$C$14),0)</f>
        <v>0.0490049162657413</v>
      </c>
    </row>
    <row r="11" customFormat="false" ht="16.5" hidden="false" customHeight="true" outlineLevel="0" collapsed="false">
      <c r="A11" s="19" t="s">
        <v>107</v>
      </c>
      <c r="B11" s="20" t="n">
        <f aca="false">SUMIF('📋 Sales Data'!C:C,A11,'📋 Sales Data'!G:G)</f>
        <v>97</v>
      </c>
      <c r="C11" s="21" t="n">
        <f aca="false">SUMIF('📋 Sales Data'!C:C,A11,'📋 Sales Data'!I:I)</f>
        <v>2005000</v>
      </c>
      <c r="D11" s="21" t="n">
        <f aca="false">C10</f>
        <v>932000</v>
      </c>
      <c r="E11" s="30" t="n">
        <f aca="false">IFERROR((C11-C10)/C10,0)</f>
        <v>1.15128755364807</v>
      </c>
      <c r="F11" s="21" t="n">
        <f aca="false">SUM($C$3:C11)</f>
        <v>11540500</v>
      </c>
      <c r="G11" s="30" t="n">
        <f aca="false">IFERROR(C11/SUM($C$3:$C$14),0)</f>
        <v>0.105423666430055</v>
      </c>
    </row>
    <row r="12" customFormat="false" ht="16.5" hidden="false" customHeight="true" outlineLevel="0" collapsed="false">
      <c r="A12" s="23" t="s">
        <v>114</v>
      </c>
      <c r="B12" s="24" t="n">
        <f aca="false">SUMIF('📋 Sales Data'!C:C,A12,'📋 Sales Data'!G:G)</f>
        <v>115</v>
      </c>
      <c r="C12" s="25" t="n">
        <f aca="false">SUMIF('📋 Sales Data'!C:C,A12,'📋 Sales Data'!I:I)</f>
        <v>1805000</v>
      </c>
      <c r="D12" s="25" t="n">
        <f aca="false">C11</f>
        <v>2005000</v>
      </c>
      <c r="E12" s="31" t="n">
        <f aca="false">IFERROR((C12-C11)/C11,0)</f>
        <v>-0.0997506234413965</v>
      </c>
      <c r="F12" s="25" t="n">
        <f aca="false">SUM($C$3:C12)</f>
        <v>13345500</v>
      </c>
      <c r="G12" s="31" t="n">
        <f aca="false">IFERROR(C12/SUM($C$3:$C$14),0)</f>
        <v>0.0949075899781791</v>
      </c>
    </row>
    <row r="13" customFormat="false" ht="16.5" hidden="false" customHeight="true" outlineLevel="0" collapsed="false">
      <c r="A13" s="19" t="s">
        <v>121</v>
      </c>
      <c r="B13" s="20" t="n">
        <f aca="false">SUMIF('📋 Sales Data'!C:C,A13,'📋 Sales Data'!G:G)</f>
        <v>96</v>
      </c>
      <c r="C13" s="21" t="n">
        <f aca="false">SUMIF('📋 Sales Data'!C:C,A13,'📋 Sales Data'!I:I)</f>
        <v>2528000</v>
      </c>
      <c r="D13" s="21" t="n">
        <f aca="false">C12</f>
        <v>1805000</v>
      </c>
      <c r="E13" s="30" t="n">
        <f aca="false">IFERROR((C13-C12)/C12,0)</f>
        <v>0.400554016620499</v>
      </c>
      <c r="F13" s="21" t="n">
        <f aca="false">SUM($C$3:C13)</f>
        <v>15873500</v>
      </c>
      <c r="G13" s="30" t="n">
        <f aca="false">IFERROR(C13/SUM($C$3:$C$14),0)</f>
        <v>0.13292320635171</v>
      </c>
    </row>
    <row r="14" customFormat="false" ht="16.5" hidden="false" customHeight="true" outlineLevel="0" collapsed="false">
      <c r="A14" s="23" t="s">
        <v>128</v>
      </c>
      <c r="B14" s="24" t="n">
        <f aca="false">SUMIF('📋 Sales Data'!C:C,A14,'📋 Sales Data'!G:G)</f>
        <v>175</v>
      </c>
      <c r="C14" s="25" t="n">
        <f aca="false">SUMIF('📋 Sales Data'!C:C,A14,'📋 Sales Data'!I:I)</f>
        <v>3145000</v>
      </c>
      <c r="D14" s="25" t="n">
        <f aca="false">C13</f>
        <v>2528000</v>
      </c>
      <c r="E14" s="31" t="n">
        <f aca="false">IFERROR((C14-C13)/C13,0)</f>
        <v>0.244066455696203</v>
      </c>
      <c r="F14" s="25" t="n">
        <f aca="false">SUM($C$3:C14)</f>
        <v>19018500</v>
      </c>
      <c r="G14" s="31" t="n">
        <f aca="false">IFERROR(C14/SUM($C$3:$C$14),0)</f>
        <v>0.165365302205747</v>
      </c>
    </row>
    <row r="15" customFormat="false" ht="21.75" hidden="false" customHeight="true" outlineLevel="0" collapsed="false">
      <c r="A15" s="26" t="s">
        <v>140</v>
      </c>
      <c r="B15" s="27" t="n">
        <f aca="false">SUM(B3:B14)</f>
        <v>1147</v>
      </c>
      <c r="C15" s="28" t="n">
        <f aca="false">SUM(C3:C14)</f>
        <v>19018500</v>
      </c>
      <c r="D15" s="26"/>
      <c r="E15" s="26"/>
      <c r="F15" s="26"/>
      <c r="G15" s="32" t="n">
        <f aca="false">SUM(G3:G14)</f>
        <v>1</v>
      </c>
    </row>
  </sheetData>
  <mergeCells count="1">
    <mergeCell ref="A1:G1"/>
  </mergeCells>
  <conditionalFormatting sqref="E4:E14">
    <cfRule type="colorScale" priority="2">
      <colorScale>
        <cfvo type="min" val="0"/>
        <cfvo type="num" val="0"/>
        <cfvo type="max" val="0"/>
        <color rgb="FFEF476F"/>
        <color rgb="FFAAAAAA"/>
        <color rgb="FF06D6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8"/>
  </cols>
  <sheetData>
    <row r="1" customFormat="false" ht="31.5" hidden="false" customHeight="true" outlineLevel="0" collapsed="false">
      <c r="A1" s="29" t="s">
        <v>141</v>
      </c>
      <c r="B1" s="29"/>
      <c r="C1" s="29"/>
      <c r="D1" s="29"/>
      <c r="E1" s="29"/>
      <c r="F1" s="29"/>
    </row>
    <row r="2" customFormat="false" ht="21.75" hidden="false" customHeight="true" outlineLevel="0" collapsed="false">
      <c r="A2" s="18" t="s">
        <v>14</v>
      </c>
      <c r="B2" s="18" t="s">
        <v>16</v>
      </c>
      <c r="C2" s="18" t="s">
        <v>13</v>
      </c>
      <c r="D2" s="18" t="s">
        <v>45</v>
      </c>
      <c r="E2" s="18" t="s">
        <v>142</v>
      </c>
      <c r="F2" s="18" t="s">
        <v>143</v>
      </c>
    </row>
    <row r="3" customFormat="false" ht="16.5" hidden="false" customHeight="true" outlineLevel="0" collapsed="false">
      <c r="A3" s="19" t="s">
        <v>18</v>
      </c>
      <c r="B3" s="19" t="s">
        <v>20</v>
      </c>
      <c r="C3" s="20" t="n">
        <f aca="false">SUMIF('📋 Sales Data'!E:E,A3,'📋 Sales Data'!G:G)</f>
        <v>195</v>
      </c>
      <c r="D3" s="21" t="n">
        <f aca="false">SUMIF('📋 Sales Data'!E:E,A3,'📋 Sales Data'!I:I)</f>
        <v>10725000</v>
      </c>
      <c r="E3" s="30" t="n">
        <f aca="false">IFERROR(D3/SUM($D$3:$D$8),0)</f>
        <v>0.56392459973184</v>
      </c>
      <c r="F3" s="19" t="n">
        <f aca="false">RANK(D3,$D$3:$D$8,0)</f>
        <v>1</v>
      </c>
    </row>
    <row r="4" customFormat="false" ht="16.5" hidden="false" customHeight="true" outlineLevel="0" collapsed="false">
      <c r="A4" s="23" t="s">
        <v>22</v>
      </c>
      <c r="B4" s="23" t="s">
        <v>20</v>
      </c>
      <c r="C4" s="24" t="n">
        <f aca="false">SUMIF('📋 Sales Data'!E:E,A4,'📋 Sales Data'!G:G)</f>
        <v>365</v>
      </c>
      <c r="D4" s="25" t="n">
        <f aca="false">SUMIF('📋 Sales Data'!E:E,A4,'📋 Sales Data'!I:I)</f>
        <v>5475000</v>
      </c>
      <c r="E4" s="31" t="n">
        <f aca="false">IFERROR(D4/SUM($D$3:$D$8),0)</f>
        <v>0.2878775928701</v>
      </c>
      <c r="F4" s="23" t="n">
        <f aca="false">RANK(D4,$D$3:$D$8,0)</f>
        <v>2</v>
      </c>
    </row>
    <row r="5" customFormat="false" ht="16.5" hidden="false" customHeight="true" outlineLevel="0" collapsed="false">
      <c r="A5" s="19" t="s">
        <v>26</v>
      </c>
      <c r="B5" s="19" t="s">
        <v>20</v>
      </c>
      <c r="C5" s="20" t="n">
        <f aca="false">SUMIF('📋 Sales Data'!E:E,A5,'📋 Sales Data'!G:G)</f>
        <v>385</v>
      </c>
      <c r="D5" s="21" t="n">
        <f aca="false">SUMIF('📋 Sales Data'!E:E,A5,'📋 Sales Data'!I:I)</f>
        <v>1540000</v>
      </c>
      <c r="E5" s="30" t="n">
        <f aca="false">IFERROR(D5/SUM($D$3:$D$8),0)</f>
        <v>0.0809737886794437</v>
      </c>
      <c r="F5" s="19" t="n">
        <f aca="false">RANK(D5,$D$3:$D$8,0)</f>
        <v>3</v>
      </c>
    </row>
    <row r="6" customFormat="false" ht="16.5" hidden="false" customHeight="true" outlineLevel="0" collapsed="false">
      <c r="A6" s="23" t="s">
        <v>29</v>
      </c>
      <c r="B6" s="23" t="s">
        <v>24</v>
      </c>
      <c r="C6" s="24" t="n">
        <f aca="false">SUMIF('📋 Sales Data'!E:E,A6,'📋 Sales Data'!G:G)</f>
        <v>75</v>
      </c>
      <c r="D6" s="25" t="n">
        <f aca="false">SUMIF('📋 Sales Data'!E:E,A6,'📋 Sales Data'!I:I)</f>
        <v>562500</v>
      </c>
      <c r="E6" s="31" t="n">
        <f aca="false">IFERROR(D6/SUM($D$3:$D$8),0)</f>
        <v>0.0295764650209007</v>
      </c>
      <c r="F6" s="23" t="n">
        <f aca="false">RANK(D6,$D$3:$D$8,0)</f>
        <v>4</v>
      </c>
    </row>
    <row r="7" customFormat="false" ht="16.5" hidden="false" customHeight="true" outlineLevel="0" collapsed="false">
      <c r="A7" s="19" t="s">
        <v>32</v>
      </c>
      <c r="B7" s="19" t="s">
        <v>24</v>
      </c>
      <c r="C7" s="20" t="n">
        <f aca="false">SUMIF('📋 Sales Data'!E:E,A7,'📋 Sales Data'!G:G)</f>
        <v>52</v>
      </c>
      <c r="D7" s="21" t="n">
        <f aca="false">SUMIF('📋 Sales Data'!E:E,A7,'📋 Sales Data'!I:I)</f>
        <v>416000</v>
      </c>
      <c r="E7" s="30" t="n">
        <f aca="false">IFERROR(D7/SUM($D$3:$D$8),0)</f>
        <v>0.0218734390199017</v>
      </c>
      <c r="F7" s="19" t="n">
        <f aca="false">RANK(D7,$D$3:$D$8,0)</f>
        <v>5</v>
      </c>
    </row>
    <row r="8" customFormat="false" ht="16.5" hidden="false" customHeight="true" outlineLevel="0" collapsed="false">
      <c r="A8" s="23" t="s">
        <v>34</v>
      </c>
      <c r="B8" s="23" t="s">
        <v>24</v>
      </c>
      <c r="C8" s="24" t="n">
        <f aca="false">SUMIF('📋 Sales Data'!E:E,A8,'📋 Sales Data'!G:G)</f>
        <v>75</v>
      </c>
      <c r="D8" s="25" t="n">
        <f aca="false">SUMIF('📋 Sales Data'!E:E,A8,'📋 Sales Data'!I:I)</f>
        <v>300000</v>
      </c>
      <c r="E8" s="31" t="n">
        <f aca="false">IFERROR(D8/SUM($D$3:$D$8),0)</f>
        <v>0.0157741146778137</v>
      </c>
      <c r="F8" s="23" t="n">
        <f aca="false">RANK(D8,$D$3:$D$8,0)</f>
        <v>6</v>
      </c>
    </row>
    <row r="9" customFormat="false" ht="21.75" hidden="false" customHeight="true" outlineLevel="0" collapsed="false">
      <c r="A9" s="26" t="s">
        <v>144</v>
      </c>
      <c r="B9" s="26"/>
      <c r="C9" s="27" t="n">
        <f aca="false">SUM(C3:C8)</f>
        <v>1147</v>
      </c>
      <c r="D9" s="28" t="n">
        <f aca="false">SUM(D3:D8)</f>
        <v>19018500</v>
      </c>
      <c r="E9" s="32" t="n">
        <f aca="false">SUM(E3:E8)</f>
        <v>1</v>
      </c>
      <c r="F9" s="26"/>
    </row>
  </sheetData>
  <mergeCells count="1">
    <mergeCell ref="A1:F1"/>
  </mergeCells>
  <conditionalFormatting sqref="E3:E8">
    <cfRule type="dataBar" priority="2">
      <dataBar showValue="1" minLength="10" maxLength="90">
        <cfvo type="num" val="0"/>
        <cfvo type="max" val="0"/>
        <color rgb="FFC9A84C"/>
      </dataBar>
      <extLst>
        <ext xmlns:x14="http://schemas.microsoft.com/office/spreadsheetml/2009/9/main" uri="{B025F937-C7B1-47D3-B67F-A62EFF666E3E}">
          <x14:id>{E522A27C-AE8D-4AE0-9AC8-FD7E76CDFCA7}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22A27C-AE8D-4AE0-9AC8-FD7E76CDFCA7}">
            <x14:dataBar minLength="10" maxLength="90" axisPosition="none" gradient="true">
              <x14:cfvo type="num">
                <xm:f>0</xm:f>
              </x14:cfvo>
              <x14:cfvo type="max"/>
              <x14:negativeFillColor rgb="FFC9A84C"/>
              <x14:axisColor rgb="FF000000"/>
            </x14:dataBar>
          </x14:cfRule>
          <xm:sqref>E3:E8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D6A0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31.5" hidden="false" customHeight="true" outlineLevel="0" collapsed="false">
      <c r="A1" s="29" t="s">
        <v>145</v>
      </c>
      <c r="B1" s="29"/>
      <c r="C1" s="29"/>
      <c r="D1" s="29"/>
      <c r="E1" s="29"/>
    </row>
    <row r="2" customFormat="false" ht="21.75" hidden="false" customHeight="true" outlineLevel="0" collapsed="false">
      <c r="A2" s="18" t="s">
        <v>15</v>
      </c>
      <c r="B2" s="18" t="s">
        <v>13</v>
      </c>
      <c r="C2" s="18" t="s">
        <v>45</v>
      </c>
      <c r="D2" s="18" t="s">
        <v>142</v>
      </c>
      <c r="E2" s="18" t="s">
        <v>143</v>
      </c>
    </row>
    <row r="3" customFormat="false" ht="16.5" hidden="false" customHeight="true" outlineLevel="0" collapsed="false">
      <c r="A3" s="19" t="s">
        <v>19</v>
      </c>
      <c r="B3" s="20" t="n">
        <f aca="false">SUMIF('📋 Sales Data'!D:D,A3,'📋 Sales Data'!G:G)</f>
        <v>312</v>
      </c>
      <c r="C3" s="21" t="n">
        <f aca="false">SUMIF('📋 Sales Data'!D:D,A3,'📋 Sales Data'!I:I)</f>
        <v>5302000</v>
      </c>
      <c r="D3" s="30" t="n">
        <f aca="false">IFERROR(C3/SUM($C$3:$C$6),0)</f>
        <v>0.278781186739228</v>
      </c>
      <c r="E3" s="19" t="n">
        <f aca="false">RANK(C3,$C$3:$C$6,0)</f>
        <v>2</v>
      </c>
    </row>
    <row r="4" customFormat="false" ht="16.5" hidden="false" customHeight="true" outlineLevel="0" collapsed="false">
      <c r="A4" s="23" t="s">
        <v>23</v>
      </c>
      <c r="B4" s="24" t="n">
        <f aca="false">SUMIF('📋 Sales Data'!D:D,A4,'📋 Sales Data'!G:G)</f>
        <v>338</v>
      </c>
      <c r="C4" s="25" t="n">
        <f aca="false">SUMIF('📋 Sales Data'!D:D,A4,'📋 Sales Data'!I:I)</f>
        <v>4668000</v>
      </c>
      <c r="D4" s="31" t="n">
        <f aca="false">IFERROR(C4/SUM($C$3:$C$6),0)</f>
        <v>0.245445224386781</v>
      </c>
      <c r="E4" s="23" t="n">
        <f aca="false">RANK(C4,$C$3:$C$6,0)</f>
        <v>3</v>
      </c>
    </row>
    <row r="5" customFormat="false" ht="16.5" hidden="false" customHeight="true" outlineLevel="0" collapsed="false">
      <c r="A5" s="19" t="s">
        <v>27</v>
      </c>
      <c r="B5" s="20" t="n">
        <f aca="false">SUMIF('📋 Sales Data'!D:D,A5,'📋 Sales Data'!G:G)</f>
        <v>177</v>
      </c>
      <c r="C5" s="21" t="n">
        <f aca="false">SUMIF('📋 Sales Data'!D:D,A5,'📋 Sales Data'!I:I)</f>
        <v>7438500</v>
      </c>
      <c r="D5" s="30" t="n">
        <f aca="false">IFERROR(C5/SUM($C$3:$C$6),0)</f>
        <v>0.391119173436391</v>
      </c>
      <c r="E5" s="19" t="n">
        <f aca="false">RANK(C5,$C$3:$C$6,0)</f>
        <v>1</v>
      </c>
    </row>
    <row r="6" customFormat="false" ht="16.5" hidden="false" customHeight="true" outlineLevel="0" collapsed="false">
      <c r="A6" s="23" t="s">
        <v>30</v>
      </c>
      <c r="B6" s="24" t="n">
        <f aca="false">SUMIF('📋 Sales Data'!D:D,A6,'📋 Sales Data'!G:G)</f>
        <v>320</v>
      </c>
      <c r="C6" s="25" t="n">
        <f aca="false">SUMIF('📋 Sales Data'!D:D,A6,'📋 Sales Data'!I:I)</f>
        <v>1610000</v>
      </c>
      <c r="D6" s="31" t="n">
        <f aca="false">IFERROR(C6/SUM($C$3:$C$6),0)</f>
        <v>0.0846544154376002</v>
      </c>
      <c r="E6" s="23" t="n">
        <f aca="false">RANK(C6,$C$3:$C$6,0)</f>
        <v>4</v>
      </c>
    </row>
    <row r="7" customFormat="false" ht="21.75" hidden="false" customHeight="true" outlineLevel="0" collapsed="false">
      <c r="A7" s="26" t="s">
        <v>144</v>
      </c>
      <c r="B7" s="27" t="n">
        <f aca="false">SUM(B3:B6)</f>
        <v>1147</v>
      </c>
      <c r="C7" s="28" t="n">
        <f aca="false">SUM(C3:C6)</f>
        <v>19018500</v>
      </c>
      <c r="D7" s="32" t="n">
        <f aca="false">SUM(D3:D6)</f>
        <v>1</v>
      </c>
      <c r="E7" s="26"/>
    </row>
  </sheetData>
  <mergeCells count="1">
    <mergeCell ref="A1:E1"/>
  </mergeCells>
  <conditionalFormatting sqref="D3:D6">
    <cfRule type="dataBar" priority="2">
      <dataBar showValue="1" minLength="10" maxLength="90">
        <cfvo type="num" val="0"/>
        <cfvo type="max" val="0"/>
        <color rgb="FF06D6A0"/>
      </dataBar>
      <extLst>
        <ext xmlns:x14="http://schemas.microsoft.com/office/spreadsheetml/2009/9/main" uri="{B025F937-C7B1-47D3-B67F-A62EFF666E3E}">
          <x14:id>{4F2BB8F1-C129-4148-9FB4-C434156A3595}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2BB8F1-C129-4148-9FB4-C434156A3595}">
            <x14:dataBar minLength="10" maxLength="90" axisPosition="none" gradient="true">
              <x14:cfvo type="num">
                <xm:f>0</xm:f>
              </x14:cfvo>
              <x14:cfvo type="max"/>
              <x14:negativeFillColor rgb="FF06D6A0"/>
              <x14:axisColor rgb="FF000000"/>
            </x14:dataBar>
          </x14:cfRule>
          <xm:sqref>D3:D6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2026-04-21T02:41:23Z</dcterms:created>
  <dc:creator>openpyxl</dc:creator>
  <dc:description/>
  <dc:language>en-US</dc:language>
  <cp:lastModifiedBy/>
  <dcterms:modified xsi:type="dcterms:W3CDTF">2026-04-21T02:41:32Z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