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Monthly Trends" sheetId="2" state="visible" r:id="rId4"/>
    <sheet name="Top Product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<sst xmlns="http://schemas.openxmlformats.org/spreadsheetml/2006/main" count="249" uniqueCount="117">
  <si>
    <t xml:space="preserve">📊 SALES DATASET – 2024</t>
  </si>
  <si>
    <t xml:space="preserve">Order ID</t>
  </si>
  <si>
    <t xml:space="preserve">Date</t>
  </si>
  <si>
    <t xml:space="preserve">Month</t>
  </si>
  <si>
    <t xml:space="preserve">Product</t>
  </si>
  <si>
    <t xml:space="preserve">Category</t>
  </si>
  <si>
    <t xml:space="preserve">Units Sold</t>
  </si>
  <si>
    <t xml:space="preserve">Revenue (₹)</t>
  </si>
  <si>
    <t xml:space="preserve">ORD001</t>
  </si>
  <si>
    <t xml:space="preserve">2024-01-05</t>
  </si>
  <si>
    <t xml:space="preserve">January</t>
  </si>
  <si>
    <t xml:space="preserve">Laptop</t>
  </si>
  <si>
    <t xml:space="preserve">Electronics</t>
  </si>
  <si>
    <t xml:space="preserve">ORD002</t>
  </si>
  <si>
    <t xml:space="preserve">2024-01-12</t>
  </si>
  <si>
    <t xml:space="preserve">Phone</t>
  </si>
  <si>
    <t xml:space="preserve">ORD003</t>
  </si>
  <si>
    <t xml:space="preserve">2024-01-20</t>
  </si>
  <si>
    <t xml:space="preserve">Desk Chair</t>
  </si>
  <si>
    <t xml:space="preserve">Furniture</t>
  </si>
  <si>
    <t xml:space="preserve">ORD004</t>
  </si>
  <si>
    <t xml:space="preserve">2024-02-03</t>
  </si>
  <si>
    <t xml:space="preserve">February</t>
  </si>
  <si>
    <t xml:space="preserve">ORD005</t>
  </si>
  <si>
    <t xml:space="preserve">2024-02-14</t>
  </si>
  <si>
    <t xml:space="preserve">Headphones</t>
  </si>
  <si>
    <t xml:space="preserve">ORD006</t>
  </si>
  <si>
    <t xml:space="preserve">2024-02-22</t>
  </si>
  <si>
    <t xml:space="preserve">Table</t>
  </si>
  <si>
    <t xml:space="preserve">ORD007</t>
  </si>
  <si>
    <t xml:space="preserve">2024-03-07</t>
  </si>
  <si>
    <t xml:space="preserve">March</t>
  </si>
  <si>
    <t xml:space="preserve">ORD008</t>
  </si>
  <si>
    <t xml:space="preserve">2024-03-15</t>
  </si>
  <si>
    <t xml:space="preserve">ORD009</t>
  </si>
  <si>
    <t xml:space="preserve">2024-03-28</t>
  </si>
  <si>
    <t xml:space="preserve">Bookshelf</t>
  </si>
  <si>
    <t xml:space="preserve">ORD010</t>
  </si>
  <si>
    <t xml:space="preserve">2024-04-04</t>
  </si>
  <si>
    <t xml:space="preserve">April</t>
  </si>
  <si>
    <t xml:space="preserve">ORD011</t>
  </si>
  <si>
    <t xml:space="preserve">2024-04-18</t>
  </si>
  <si>
    <t xml:space="preserve">ORD012</t>
  </si>
  <si>
    <t xml:space="preserve">2024-04-29</t>
  </si>
  <si>
    <t xml:space="preserve">ORD013</t>
  </si>
  <si>
    <t xml:space="preserve">2024-05-06</t>
  </si>
  <si>
    <t xml:space="preserve">May</t>
  </si>
  <si>
    <t xml:space="preserve">ORD014</t>
  </si>
  <si>
    <t xml:space="preserve">2024-05-19</t>
  </si>
  <si>
    <t xml:space="preserve">ORD015</t>
  </si>
  <si>
    <t xml:space="preserve">2024-05-27</t>
  </si>
  <si>
    <t xml:space="preserve">ORD016</t>
  </si>
  <si>
    <t xml:space="preserve">2024-06-03</t>
  </si>
  <si>
    <t xml:space="preserve">June</t>
  </si>
  <si>
    <t xml:space="preserve">ORD017</t>
  </si>
  <si>
    <t xml:space="preserve">2024-06-16</t>
  </si>
  <si>
    <t xml:space="preserve">ORD018</t>
  </si>
  <si>
    <t xml:space="preserve">2024-06-25</t>
  </si>
  <si>
    <t xml:space="preserve">ORD019</t>
  </si>
  <si>
    <t xml:space="preserve">2024-07-08</t>
  </si>
  <si>
    <t xml:space="preserve">July</t>
  </si>
  <si>
    <t xml:space="preserve">ORD020</t>
  </si>
  <si>
    <t xml:space="preserve">2024-07-21</t>
  </si>
  <si>
    <t xml:space="preserve">ORD021</t>
  </si>
  <si>
    <t xml:space="preserve">2024-07-30</t>
  </si>
  <si>
    <t xml:space="preserve">ORD022</t>
  </si>
  <si>
    <t xml:space="preserve">2024-08-05</t>
  </si>
  <si>
    <t xml:space="preserve">August</t>
  </si>
  <si>
    <t xml:space="preserve">ORD023</t>
  </si>
  <si>
    <t xml:space="preserve">2024-08-17</t>
  </si>
  <si>
    <t xml:space="preserve">ORD024</t>
  </si>
  <si>
    <t xml:space="preserve">2024-08-28</t>
  </si>
  <si>
    <t xml:space="preserve">ORD025</t>
  </si>
  <si>
    <t xml:space="preserve">2024-09-09</t>
  </si>
  <si>
    <t xml:space="preserve">September</t>
  </si>
  <si>
    <t xml:space="preserve">ORD026</t>
  </si>
  <si>
    <t xml:space="preserve">2024-09-20</t>
  </si>
  <si>
    <t xml:space="preserve">ORD027</t>
  </si>
  <si>
    <t xml:space="preserve">2024-09-29</t>
  </si>
  <si>
    <t xml:space="preserve">ORD028</t>
  </si>
  <si>
    <t xml:space="preserve">2024-10-07</t>
  </si>
  <si>
    <t xml:space="preserve">October</t>
  </si>
  <si>
    <t xml:space="preserve">ORD029</t>
  </si>
  <si>
    <t xml:space="preserve">2024-10-18</t>
  </si>
  <si>
    <t xml:space="preserve">ORD030</t>
  </si>
  <si>
    <t xml:space="preserve">2024-10-30</t>
  </si>
  <si>
    <t xml:space="preserve">ORD031</t>
  </si>
  <si>
    <t xml:space="preserve">2024-11-04</t>
  </si>
  <si>
    <t xml:space="preserve">November</t>
  </si>
  <si>
    <t xml:space="preserve">ORD032</t>
  </si>
  <si>
    <t xml:space="preserve">2024-11-15</t>
  </si>
  <si>
    <t xml:space="preserve">ORD033</t>
  </si>
  <si>
    <t xml:space="preserve">2024-11-28</t>
  </si>
  <si>
    <t xml:space="preserve">ORD034</t>
  </si>
  <si>
    <t xml:space="preserve">2024-12-05</t>
  </si>
  <si>
    <t xml:space="preserve">December</t>
  </si>
  <si>
    <t xml:space="preserve">ORD035</t>
  </si>
  <si>
    <t xml:space="preserve">2024-12-18</t>
  </si>
  <si>
    <t xml:space="preserve">ORD036</t>
  </si>
  <si>
    <t xml:space="preserve">2024-12-29</t>
  </si>
  <si>
    <t xml:space="preserve">TOTAL</t>
  </si>
  <si>
    <t xml:space="preserve">📅 MONTHLY SALES TRENDS – 2024</t>
  </si>
  <si>
    <t xml:space="preserve">MoM Growth %</t>
  </si>
  <si>
    <t xml:space="preserve">—</t>
  </si>
  <si>
    <t xml:space="preserve">🏆 TOP PRODUCTS ANALYSIS – 2024</t>
  </si>
  <si>
    <t xml:space="preserve">Revenue Share %</t>
  </si>
  <si>
    <t xml:space="preserve">📊 SALES DASHBOARD – 2024 OVERVIEW</t>
  </si>
  <si>
    <t xml:space="preserve">Total Revenue</t>
  </si>
  <si>
    <t xml:space="preserve">Total Units</t>
  </si>
  <si>
    <t xml:space="preserve">Avg Monthly Rev</t>
  </si>
  <si>
    <t xml:space="preserve">Best Month</t>
  </si>
  <si>
    <t xml:space="preserve">MONTHLY SUMMARY</t>
  </si>
  <si>
    <t xml:space="preserve">Units</t>
  </si>
  <si>
    <t xml:space="preserve">Revenue</t>
  </si>
  <si>
    <t xml:space="preserve">MoM%</t>
  </si>
  <si>
    <t xml:space="preserve">TOP PRODUCTS SUMMARY</t>
  </si>
  <si>
    <t xml:space="preserve">Share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</si>
</sst>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.0%"/>
    <numFmt numFmtId="167" formatCode="#,##0"/>
    <numFmt numFmtId="168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2E6DA4"/>
      <name val="Arial"/>
      <family val="0"/>
      <charset val="1"/>
    </font>
    <font>
      <b val="true"/>
      <sz val="14"/>
      <color rgb="FF217346"/>
      <name val="Arial"/>
      <family val="0"/>
      <charset val="1"/>
    </font>
    <font>
      <b val="true"/>
      <sz val="14"/>
      <color rgb="FF8B4513"/>
      <name val="Arial"/>
      <family val="0"/>
      <charset val="1"/>
    </font>
    <font>
      <b val="true"/>
      <sz val="14"/>
      <color rgb="FF8B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rgb="FFF0A500"/>
        <bgColor rgb="FFFFCC00"/>
      </patternFill>
    </fill>
    <fill>
      <patternFill patternType="solid">
        <fgColor rgb="FF217346"/>
        <bgColor rgb="FF008080"/>
      </patternFill>
    </fill>
    <fill>
      <patternFill patternType="solid">
        <fgColor rgb="FF8B4513"/>
        <bgColor rgb="FF993366"/>
      </patternFill>
    </fill>
    <fill>
      <patternFill patternType="solid">
        <fgColor rgb="FF8B0000"/>
        <bgColor rgb="FF800000"/>
      </patternFill>
    </fill>
    <fill>
      <patternFill patternType="solid">
        <fgColor rgb="FFD9E8F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217346"/>
      <rgbColor rgb="FFC0C0C0"/>
      <rgbColor rgb="FF878787"/>
      <rgbColor rgb="FF9999FF"/>
      <rgbColor rgb="FF993366"/>
      <rgbColor rgb="FFF9F9F9"/>
      <rgbColor rgb="FFD9E8F5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A500"/>
      <rgbColor rgb="FFFF6600"/>
      <rgbColor rgb="FF666699"/>
      <rgbColor rgb="FFAAAAAA"/>
      <rgbColor rgb="FF1B3A6B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Trends'!C2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2e6da4"/>
            </a:solidFill>
            <a:ln w="47520">
              <a:solidFill>
                <a:srgbClr val="2e6d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Trends'!$C$3:$C$14</c:f>
              <c:numCache>
                <c:formatCode>\₹#,##0</c:formatCode>
                <c:ptCount val="12"/>
                <c:pt idx="0">
                  <c:v>1037500</c:v>
                </c:pt>
                <c:pt idx="1">
                  <c:v>656000</c:v>
                </c:pt>
                <c:pt idx="2">
                  <c:v>1190000</c:v>
                </c:pt>
                <c:pt idx="3">
                  <c:v>705000</c:v>
                </c:pt>
                <c:pt idx="4">
                  <c:v>1430000</c:v>
                </c:pt>
                <c:pt idx="5">
                  <c:v>1380000</c:v>
                </c:pt>
                <c:pt idx="6">
                  <c:v>1635000</c:v>
                </c:pt>
                <c:pt idx="7">
                  <c:v>877000</c:v>
                </c:pt>
                <c:pt idx="8">
                  <c:v>2005000</c:v>
                </c:pt>
                <c:pt idx="9">
                  <c:v>1735000</c:v>
                </c:pt>
                <c:pt idx="10">
                  <c:v>2528000</c:v>
                </c:pt>
                <c:pt idx="11">
                  <c:v>3065000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538185"/>
        <c:axId val="56510738"/>
      </c:lineChart>
      <c:catAx>
        <c:axId val="65538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10738"/>
        <c:crosses val="autoZero"/>
        <c:auto val="1"/>
        <c:lblAlgn val="ctr"/>
        <c:lblOffset val="100"/>
        <c:noMultiLvlLbl val="0"/>
      </c:catAx>
      <c:valAx>
        <c:axId val="565107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38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'Top Products'!D2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2e6da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Products'!$A$3:$A$8</c:f>
              <c:strCache>
                <c:ptCount val="6"/>
                <c:pt idx="0">
                  <c:v>Laptop</c:v>
                </c:pt>
                <c:pt idx="1">
                  <c:v>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Table</c:v>
                </c:pt>
                <c:pt idx="5">
                  <c:v>Bookshelf</c:v>
                </c:pt>
              </c:strCache>
            </c:strRef>
          </c:cat>
          <c:val>
            <c:numRef>
              <c:f>'Top Products'!$D$3:$D$8</c:f>
              <c:numCache>
                <c:formatCode>\₹#,##0</c:formatCode>
                <c:ptCount val="6"/>
                <c:pt idx="0">
                  <c:v>10725000</c:v>
                </c:pt>
                <c:pt idx="1">
                  <c:v>5175000</c:v>
                </c:pt>
                <c:pt idx="2">
                  <c:v>1065000</c:v>
                </c:pt>
                <c:pt idx="3">
                  <c:v>562500</c:v>
                </c:pt>
                <c:pt idx="4">
                  <c:v>416000</c:v>
                </c:pt>
                <c:pt idx="5">
                  <c:v>300000</c:v>
                </c:pt>
              </c:numCache>
            </c:numRef>
          </c:val>
        </c:ser>
        <c:gapWidth val="150"/>
        <c:overlap val="0"/>
        <c:axId val="8932025"/>
        <c:axId val="88106054"/>
      </c:barChart>
      <c:catAx>
        <c:axId val="89320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06054"/>
        <c:crosses val="autoZero"/>
        <c:auto val="1"/>
        <c:lblAlgn val="ctr"/>
        <c:lblOffset val="100"/>
        <c:noMultiLvlLbl val="0"/>
      </c:catAx>
      <c:valAx>
        <c:axId val="88106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20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17</xdr:col>
      <xdr:colOff>581760</xdr:colOff>
      <xdr:row>22</xdr:row>
      <xdr:rowOff>168480</xdr:rowOff>
    </xdr:to>
    <xdr:graphicFrame>
      <xdr:nvGraphicFramePr>
        <xdr:cNvPr id="0" name="Chart 1"/>
        <xdr:cNvGraphicFramePr/>
      </xdr:nvGraphicFramePr>
      <xdr:xfrm>
        <a:off x="4699800" y="3999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18</xdr:col>
      <xdr:colOff>581400</xdr:colOff>
      <xdr:row>26</xdr:row>
      <xdr:rowOff>126720</xdr:rowOff>
    </xdr:to>
    <xdr:graphicFrame>
      <xdr:nvGraphicFramePr>
        <xdr:cNvPr id="1" name="Chart 1"/>
        <xdr:cNvGraphicFramePr/>
      </xdr:nvGraphicFramePr>
      <xdr:xfrm>
        <a:off x="5756760" y="3999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10</v>
      </c>
      <c r="G3" s="4" t="n">
        <v>550000</v>
      </c>
    </row>
    <row r="4" customFormat="false" ht="15" hidden="false" customHeight="false" outlineLevel="0" collapsed="false">
      <c r="A4" s="5" t="s">
        <v>13</v>
      </c>
      <c r="B4" s="5" t="s">
        <v>14</v>
      </c>
      <c r="C4" s="5" t="s">
        <v>10</v>
      </c>
      <c r="D4" s="5" t="s">
        <v>15</v>
      </c>
      <c r="E4" s="5" t="s">
        <v>12</v>
      </c>
      <c r="F4" s="5" t="n">
        <v>25</v>
      </c>
      <c r="G4" s="6" t="n">
        <v>375000</v>
      </c>
    </row>
    <row r="5" customFormat="false" ht="15" hidden="false" customHeight="false" outlineLevel="0" collapsed="false">
      <c r="A5" s="3" t="s">
        <v>16</v>
      </c>
      <c r="B5" s="3" t="s">
        <v>17</v>
      </c>
      <c r="C5" s="3" t="s">
        <v>10</v>
      </c>
      <c r="D5" s="3" t="s">
        <v>18</v>
      </c>
      <c r="E5" s="3" t="s">
        <v>19</v>
      </c>
      <c r="F5" s="3" t="n">
        <v>15</v>
      </c>
      <c r="G5" s="4" t="n">
        <v>112500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22</v>
      </c>
      <c r="D6" s="5" t="s">
        <v>11</v>
      </c>
      <c r="E6" s="5" t="s">
        <v>12</v>
      </c>
      <c r="F6" s="5" t="n">
        <v>8</v>
      </c>
      <c r="G6" s="6" t="n">
        <v>440000</v>
      </c>
    </row>
    <row r="7" customFormat="false" ht="15" hidden="false" customHeight="false" outlineLevel="0" collapsed="false">
      <c r="A7" s="3" t="s">
        <v>23</v>
      </c>
      <c r="B7" s="3" t="s">
        <v>24</v>
      </c>
      <c r="C7" s="3" t="s">
        <v>22</v>
      </c>
      <c r="D7" s="3" t="s">
        <v>25</v>
      </c>
      <c r="E7" s="3" t="s">
        <v>12</v>
      </c>
      <c r="F7" s="3" t="n">
        <v>40</v>
      </c>
      <c r="G7" s="4" t="n">
        <v>120000</v>
      </c>
    </row>
    <row r="8" customFormat="false" ht="15" hidden="false" customHeight="false" outlineLevel="0" collapsed="false">
      <c r="A8" s="5" t="s">
        <v>26</v>
      </c>
      <c r="B8" s="5" t="s">
        <v>27</v>
      </c>
      <c r="C8" s="5" t="s">
        <v>22</v>
      </c>
      <c r="D8" s="5" t="s">
        <v>28</v>
      </c>
      <c r="E8" s="5" t="s">
        <v>19</v>
      </c>
      <c r="F8" s="5" t="n">
        <v>12</v>
      </c>
      <c r="G8" s="6" t="n">
        <v>96000</v>
      </c>
    </row>
    <row r="9" customFormat="false" ht="15" hidden="false" customHeight="false" outlineLevel="0" collapsed="false">
      <c r="A9" s="3" t="s">
        <v>29</v>
      </c>
      <c r="B9" s="3" t="s">
        <v>30</v>
      </c>
      <c r="C9" s="3" t="s">
        <v>31</v>
      </c>
      <c r="D9" s="3" t="s">
        <v>15</v>
      </c>
      <c r="E9" s="3" t="s">
        <v>12</v>
      </c>
      <c r="F9" s="3" t="n">
        <v>30</v>
      </c>
      <c r="G9" s="4" t="n">
        <v>450000</v>
      </c>
    </row>
    <row r="10" customFormat="false" ht="15" hidden="false" customHeight="false" outlineLevel="0" collapsed="false">
      <c r="A10" s="5" t="s">
        <v>32</v>
      </c>
      <c r="B10" s="5" t="s">
        <v>33</v>
      </c>
      <c r="C10" s="5" t="s">
        <v>31</v>
      </c>
      <c r="D10" s="5" t="s">
        <v>11</v>
      </c>
      <c r="E10" s="5" t="s">
        <v>12</v>
      </c>
      <c r="F10" s="5" t="n">
        <v>12</v>
      </c>
      <c r="G10" s="6" t="n">
        <v>660000</v>
      </c>
    </row>
    <row r="11" customFormat="false" ht="15" hidden="false" customHeight="false" outlineLevel="0" collapsed="false">
      <c r="A11" s="3" t="s">
        <v>34</v>
      </c>
      <c r="B11" s="3" t="s">
        <v>35</v>
      </c>
      <c r="C11" s="3" t="s">
        <v>31</v>
      </c>
      <c r="D11" s="3" t="s">
        <v>36</v>
      </c>
      <c r="E11" s="3" t="s">
        <v>19</v>
      </c>
      <c r="F11" s="3" t="n">
        <v>20</v>
      </c>
      <c r="G11" s="4" t="n">
        <v>80000</v>
      </c>
    </row>
    <row r="12" customFormat="false" ht="15" hidden="false" customHeight="false" outlineLevel="0" collapsed="false">
      <c r="A12" s="5" t="s">
        <v>37</v>
      </c>
      <c r="B12" s="5" t="s">
        <v>38</v>
      </c>
      <c r="C12" s="5" t="s">
        <v>39</v>
      </c>
      <c r="D12" s="5" t="s">
        <v>25</v>
      </c>
      <c r="E12" s="5" t="s">
        <v>12</v>
      </c>
      <c r="F12" s="5" t="n">
        <v>50</v>
      </c>
      <c r="G12" s="6" t="n">
        <v>150000</v>
      </c>
    </row>
    <row r="13" customFormat="false" ht="15" hidden="false" customHeight="false" outlineLevel="0" collapsed="false">
      <c r="A13" s="3" t="s">
        <v>40</v>
      </c>
      <c r="B13" s="3" t="s">
        <v>41</v>
      </c>
      <c r="C13" s="3" t="s">
        <v>39</v>
      </c>
      <c r="D13" s="3" t="s">
        <v>15</v>
      </c>
      <c r="E13" s="3" t="s">
        <v>12</v>
      </c>
      <c r="F13" s="3" t="n">
        <v>28</v>
      </c>
      <c r="G13" s="4" t="n">
        <v>420000</v>
      </c>
    </row>
    <row r="14" customFormat="false" ht="15" hidden="false" customHeight="false" outlineLevel="0" collapsed="false">
      <c r="A14" s="5" t="s">
        <v>42</v>
      </c>
      <c r="B14" s="5" t="s">
        <v>43</v>
      </c>
      <c r="C14" s="5" t="s">
        <v>39</v>
      </c>
      <c r="D14" s="5" t="s">
        <v>18</v>
      </c>
      <c r="E14" s="5" t="s">
        <v>19</v>
      </c>
      <c r="F14" s="5" t="n">
        <v>18</v>
      </c>
      <c r="G14" s="6" t="n">
        <v>135000</v>
      </c>
    </row>
    <row r="15" customFormat="false" ht="15" hidden="false" customHeight="false" outlineLevel="0" collapsed="false">
      <c r="A15" s="3" t="s">
        <v>44</v>
      </c>
      <c r="B15" s="3" t="s">
        <v>45</v>
      </c>
      <c r="C15" s="3" t="s">
        <v>46</v>
      </c>
      <c r="D15" s="3" t="s">
        <v>11</v>
      </c>
      <c r="E15" s="3" t="s">
        <v>12</v>
      </c>
      <c r="F15" s="3" t="n">
        <v>15</v>
      </c>
      <c r="G15" s="4" t="n">
        <v>825000</v>
      </c>
    </row>
    <row r="16" customFormat="false" ht="15" hidden="false" customHeight="false" outlineLevel="0" collapsed="false">
      <c r="A16" s="5" t="s">
        <v>47</v>
      </c>
      <c r="B16" s="5" t="s">
        <v>48</v>
      </c>
      <c r="C16" s="5" t="s">
        <v>46</v>
      </c>
      <c r="D16" s="5" t="s">
        <v>28</v>
      </c>
      <c r="E16" s="5" t="s">
        <v>19</v>
      </c>
      <c r="F16" s="5" t="n">
        <v>10</v>
      </c>
      <c r="G16" s="6" t="n">
        <v>80000</v>
      </c>
    </row>
    <row r="17" customFormat="false" ht="15" hidden="false" customHeight="false" outlineLevel="0" collapsed="false">
      <c r="A17" s="3" t="s">
        <v>49</v>
      </c>
      <c r="B17" s="3" t="s">
        <v>50</v>
      </c>
      <c r="C17" s="3" t="s">
        <v>46</v>
      </c>
      <c r="D17" s="3" t="s">
        <v>15</v>
      </c>
      <c r="E17" s="3" t="s">
        <v>12</v>
      </c>
      <c r="F17" s="3" t="n">
        <v>35</v>
      </c>
      <c r="G17" s="4" t="n">
        <v>525000</v>
      </c>
    </row>
    <row r="18" customFormat="false" ht="15" hidden="false" customHeight="false" outlineLevel="0" collapsed="false">
      <c r="A18" s="5" t="s">
        <v>51</v>
      </c>
      <c r="B18" s="5" t="s">
        <v>52</v>
      </c>
      <c r="C18" s="5" t="s">
        <v>53</v>
      </c>
      <c r="D18" s="5" t="s">
        <v>25</v>
      </c>
      <c r="E18" s="5" t="s">
        <v>12</v>
      </c>
      <c r="F18" s="5" t="n">
        <v>60</v>
      </c>
      <c r="G18" s="6" t="n">
        <v>180000</v>
      </c>
    </row>
    <row r="19" customFormat="false" ht="15" hidden="false" customHeight="false" outlineLevel="0" collapsed="false">
      <c r="A19" s="3" t="s">
        <v>54</v>
      </c>
      <c r="B19" s="3" t="s">
        <v>55</v>
      </c>
      <c r="C19" s="3" t="s">
        <v>53</v>
      </c>
      <c r="D19" s="3" t="s">
        <v>11</v>
      </c>
      <c r="E19" s="3" t="s">
        <v>12</v>
      </c>
      <c r="F19" s="3" t="n">
        <v>20</v>
      </c>
      <c r="G19" s="4" t="n">
        <v>1100000</v>
      </c>
    </row>
    <row r="20" customFormat="false" ht="15" hidden="false" customHeight="false" outlineLevel="0" collapsed="false">
      <c r="A20" s="5" t="s">
        <v>56</v>
      </c>
      <c r="B20" s="5" t="s">
        <v>57</v>
      </c>
      <c r="C20" s="5" t="s">
        <v>53</v>
      </c>
      <c r="D20" s="5" t="s">
        <v>36</v>
      </c>
      <c r="E20" s="5" t="s">
        <v>19</v>
      </c>
      <c r="F20" s="5" t="n">
        <v>25</v>
      </c>
      <c r="G20" s="6" t="n">
        <v>100000</v>
      </c>
    </row>
    <row r="21" customFormat="false" ht="15" hidden="false" customHeight="false" outlineLevel="0" collapsed="false">
      <c r="A21" s="3" t="s">
        <v>58</v>
      </c>
      <c r="B21" s="3" t="s">
        <v>59</v>
      </c>
      <c r="C21" s="3" t="s">
        <v>60</v>
      </c>
      <c r="D21" s="3" t="s">
        <v>15</v>
      </c>
      <c r="E21" s="3" t="s">
        <v>12</v>
      </c>
      <c r="F21" s="3" t="n">
        <v>32</v>
      </c>
      <c r="G21" s="4" t="n">
        <v>480000</v>
      </c>
    </row>
    <row r="22" customFormat="false" ht="15" hidden="false" customHeight="false" outlineLevel="0" collapsed="false">
      <c r="A22" s="5" t="s">
        <v>61</v>
      </c>
      <c r="B22" s="5" t="s">
        <v>62</v>
      </c>
      <c r="C22" s="5" t="s">
        <v>60</v>
      </c>
      <c r="D22" s="5" t="s">
        <v>18</v>
      </c>
      <c r="E22" s="5" t="s">
        <v>19</v>
      </c>
      <c r="F22" s="5" t="n">
        <v>22</v>
      </c>
      <c r="G22" s="6" t="n">
        <v>165000</v>
      </c>
    </row>
    <row r="23" customFormat="false" ht="15" hidden="false" customHeight="false" outlineLevel="0" collapsed="false">
      <c r="A23" s="3" t="s">
        <v>63</v>
      </c>
      <c r="B23" s="3" t="s">
        <v>64</v>
      </c>
      <c r="C23" s="3" t="s">
        <v>60</v>
      </c>
      <c r="D23" s="3" t="s">
        <v>11</v>
      </c>
      <c r="E23" s="3" t="s">
        <v>12</v>
      </c>
      <c r="F23" s="3" t="n">
        <v>18</v>
      </c>
      <c r="G23" s="4" t="n">
        <v>990000</v>
      </c>
    </row>
    <row r="24" customFormat="false" ht="15" hidden="false" customHeight="false" outlineLevel="0" collapsed="false">
      <c r="A24" s="5" t="s">
        <v>65</v>
      </c>
      <c r="B24" s="5" t="s">
        <v>66</v>
      </c>
      <c r="C24" s="5" t="s">
        <v>67</v>
      </c>
      <c r="D24" s="5" t="s">
        <v>25</v>
      </c>
      <c r="E24" s="5" t="s">
        <v>12</v>
      </c>
      <c r="F24" s="5" t="n">
        <v>55</v>
      </c>
      <c r="G24" s="6" t="n">
        <v>165000</v>
      </c>
    </row>
    <row r="25" customFormat="false" ht="15" hidden="false" customHeight="false" outlineLevel="0" collapsed="false">
      <c r="A25" s="3" t="s">
        <v>68</v>
      </c>
      <c r="B25" s="3" t="s">
        <v>69</v>
      </c>
      <c r="C25" s="3" t="s">
        <v>67</v>
      </c>
      <c r="D25" s="3" t="s">
        <v>28</v>
      </c>
      <c r="E25" s="3" t="s">
        <v>19</v>
      </c>
      <c r="F25" s="3" t="n">
        <v>14</v>
      </c>
      <c r="G25" s="4" t="n">
        <v>112000</v>
      </c>
    </row>
    <row r="26" customFormat="false" ht="15" hidden="false" customHeight="false" outlineLevel="0" collapsed="false">
      <c r="A26" s="5" t="s">
        <v>70</v>
      </c>
      <c r="B26" s="5" t="s">
        <v>71</v>
      </c>
      <c r="C26" s="5" t="s">
        <v>67</v>
      </c>
      <c r="D26" s="5" t="s">
        <v>15</v>
      </c>
      <c r="E26" s="5" t="s">
        <v>12</v>
      </c>
      <c r="F26" s="5" t="n">
        <v>40</v>
      </c>
      <c r="G26" s="6" t="n">
        <v>600000</v>
      </c>
    </row>
    <row r="27" customFormat="false" ht="15" hidden="false" customHeight="false" outlineLevel="0" collapsed="false">
      <c r="A27" s="3" t="s">
        <v>72</v>
      </c>
      <c r="B27" s="3" t="s">
        <v>73</v>
      </c>
      <c r="C27" s="3" t="s">
        <v>74</v>
      </c>
      <c r="D27" s="3" t="s">
        <v>11</v>
      </c>
      <c r="E27" s="3" t="s">
        <v>12</v>
      </c>
      <c r="F27" s="3" t="n">
        <v>22</v>
      </c>
      <c r="G27" s="4" t="n">
        <v>1210000</v>
      </c>
    </row>
    <row r="28" customFormat="false" ht="15" hidden="false" customHeight="false" outlineLevel="0" collapsed="false">
      <c r="A28" s="5" t="s">
        <v>75</v>
      </c>
      <c r="B28" s="5" t="s">
        <v>76</v>
      </c>
      <c r="C28" s="5" t="s">
        <v>74</v>
      </c>
      <c r="D28" s="5" t="s">
        <v>36</v>
      </c>
      <c r="E28" s="5" t="s">
        <v>19</v>
      </c>
      <c r="F28" s="5" t="n">
        <v>30</v>
      </c>
      <c r="G28" s="6" t="n">
        <v>120000</v>
      </c>
    </row>
    <row r="29" customFormat="false" ht="15" hidden="false" customHeight="false" outlineLevel="0" collapsed="false">
      <c r="A29" s="3" t="s">
        <v>77</v>
      </c>
      <c r="B29" s="3" t="s">
        <v>78</v>
      </c>
      <c r="C29" s="3" t="s">
        <v>74</v>
      </c>
      <c r="D29" s="3" t="s">
        <v>15</v>
      </c>
      <c r="E29" s="3" t="s">
        <v>12</v>
      </c>
      <c r="F29" s="3" t="n">
        <v>45</v>
      </c>
      <c r="G29" s="4" t="n">
        <v>675000</v>
      </c>
    </row>
    <row r="30" customFormat="false" ht="15" hidden="false" customHeight="false" outlineLevel="0" collapsed="false">
      <c r="A30" s="5" t="s">
        <v>79</v>
      </c>
      <c r="B30" s="5" t="s">
        <v>80</v>
      </c>
      <c r="C30" s="5" t="s">
        <v>81</v>
      </c>
      <c r="D30" s="5" t="s">
        <v>25</v>
      </c>
      <c r="E30" s="5" t="s">
        <v>12</v>
      </c>
      <c r="F30" s="5" t="n">
        <v>70</v>
      </c>
      <c r="G30" s="6" t="n">
        <v>210000</v>
      </c>
    </row>
    <row r="31" customFormat="false" ht="15" hidden="false" customHeight="false" outlineLevel="0" collapsed="false">
      <c r="A31" s="3" t="s">
        <v>82</v>
      </c>
      <c r="B31" s="3" t="s">
        <v>83</v>
      </c>
      <c r="C31" s="3" t="s">
        <v>81</v>
      </c>
      <c r="D31" s="3" t="s">
        <v>11</v>
      </c>
      <c r="E31" s="3" t="s">
        <v>12</v>
      </c>
      <c r="F31" s="3" t="n">
        <v>25</v>
      </c>
      <c r="G31" s="4" t="n">
        <v>1375000</v>
      </c>
    </row>
    <row r="32" customFormat="false" ht="15" hidden="false" customHeight="false" outlineLevel="0" collapsed="false">
      <c r="A32" s="5" t="s">
        <v>84</v>
      </c>
      <c r="B32" s="5" t="s">
        <v>85</v>
      </c>
      <c r="C32" s="5" t="s">
        <v>81</v>
      </c>
      <c r="D32" s="5" t="s">
        <v>18</v>
      </c>
      <c r="E32" s="5" t="s">
        <v>19</v>
      </c>
      <c r="F32" s="5" t="n">
        <v>20</v>
      </c>
      <c r="G32" s="6" t="n">
        <v>150000</v>
      </c>
    </row>
    <row r="33" customFormat="false" ht="15" hidden="false" customHeight="false" outlineLevel="0" collapsed="false">
      <c r="A33" s="3" t="s">
        <v>86</v>
      </c>
      <c r="B33" s="3" t="s">
        <v>87</v>
      </c>
      <c r="C33" s="3" t="s">
        <v>88</v>
      </c>
      <c r="D33" s="3" t="s">
        <v>15</v>
      </c>
      <c r="E33" s="3" t="s">
        <v>12</v>
      </c>
      <c r="F33" s="3" t="n">
        <v>50</v>
      </c>
      <c r="G33" s="4" t="n">
        <v>750000</v>
      </c>
    </row>
    <row r="34" customFormat="false" ht="15" hidden="false" customHeight="false" outlineLevel="0" collapsed="false">
      <c r="A34" s="5" t="s">
        <v>89</v>
      </c>
      <c r="B34" s="5" t="s">
        <v>90</v>
      </c>
      <c r="C34" s="5" t="s">
        <v>88</v>
      </c>
      <c r="D34" s="5" t="s">
        <v>28</v>
      </c>
      <c r="E34" s="5" t="s">
        <v>19</v>
      </c>
      <c r="F34" s="5" t="n">
        <v>16</v>
      </c>
      <c r="G34" s="6" t="n">
        <v>128000</v>
      </c>
    </row>
    <row r="35" customFormat="false" ht="15" hidden="false" customHeight="false" outlineLevel="0" collapsed="false">
      <c r="A35" s="3" t="s">
        <v>91</v>
      </c>
      <c r="B35" s="3" t="s">
        <v>92</v>
      </c>
      <c r="C35" s="3" t="s">
        <v>88</v>
      </c>
      <c r="D35" s="3" t="s">
        <v>11</v>
      </c>
      <c r="E35" s="3" t="s">
        <v>12</v>
      </c>
      <c r="F35" s="3" t="n">
        <v>30</v>
      </c>
      <c r="G35" s="4" t="n">
        <v>1650000</v>
      </c>
    </row>
    <row r="36" customFormat="false" ht="15" hidden="false" customHeight="false" outlineLevel="0" collapsed="false">
      <c r="A36" s="5" t="s">
        <v>93</v>
      </c>
      <c r="B36" s="5" t="s">
        <v>94</v>
      </c>
      <c r="C36" s="5" t="s">
        <v>95</v>
      </c>
      <c r="D36" s="5" t="s">
        <v>25</v>
      </c>
      <c r="E36" s="5" t="s">
        <v>12</v>
      </c>
      <c r="F36" s="5" t="n">
        <v>80</v>
      </c>
      <c r="G36" s="6" t="n">
        <v>240000</v>
      </c>
    </row>
    <row r="37" customFormat="false" ht="15" hidden="false" customHeight="false" outlineLevel="0" collapsed="false">
      <c r="A37" s="3" t="s">
        <v>96</v>
      </c>
      <c r="B37" s="3" t="s">
        <v>97</v>
      </c>
      <c r="C37" s="3" t="s">
        <v>95</v>
      </c>
      <c r="D37" s="3" t="s">
        <v>15</v>
      </c>
      <c r="E37" s="3" t="s">
        <v>12</v>
      </c>
      <c r="F37" s="3" t="n">
        <v>60</v>
      </c>
      <c r="G37" s="4" t="n">
        <v>900000</v>
      </c>
    </row>
    <row r="38" customFormat="false" ht="15" hidden="false" customHeight="false" outlineLevel="0" collapsed="false">
      <c r="A38" s="5" t="s">
        <v>98</v>
      </c>
      <c r="B38" s="5" t="s">
        <v>99</v>
      </c>
      <c r="C38" s="5" t="s">
        <v>95</v>
      </c>
      <c r="D38" s="5" t="s">
        <v>11</v>
      </c>
      <c r="E38" s="5" t="s">
        <v>12</v>
      </c>
      <c r="F38" s="5" t="n">
        <v>35</v>
      </c>
      <c r="G38" s="6" t="n">
        <v>1925000</v>
      </c>
    </row>
    <row r="39" customFormat="false" ht="15" hidden="false" customHeight="false" outlineLevel="0" collapsed="false">
      <c r="A39" s="7" t="s">
        <v>100</v>
      </c>
      <c r="B39" s="7"/>
      <c r="C39" s="7"/>
      <c r="D39" s="7"/>
      <c r="E39" s="7"/>
      <c r="F39" s="7" t="n">
        <f aca="false">SUM(F3:F38)</f>
        <v>1097</v>
      </c>
      <c r="G39" s="8" t="n">
        <f aca="false">SUM(G3:G38)</f>
        <v>18243500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31.5" hidden="false" customHeight="true" outlineLevel="0" collapsed="false">
      <c r="A1" s="1" t="s">
        <v>101</v>
      </c>
      <c r="B1" s="1"/>
      <c r="C1" s="1"/>
      <c r="D1" s="1"/>
    </row>
    <row r="2" customFormat="false" ht="26.85" hidden="false" customHeight="false" outlineLevel="0" collapsed="false">
      <c r="A2" s="2" t="s">
        <v>3</v>
      </c>
      <c r="B2" s="2" t="s">
        <v>6</v>
      </c>
      <c r="C2" s="2" t="s">
        <v>7</v>
      </c>
      <c r="D2" s="2" t="s">
        <v>102</v>
      </c>
    </row>
    <row r="3" customFormat="false" ht="15" hidden="false" customHeight="false" outlineLevel="0" collapsed="false">
      <c r="A3" s="3" t="s">
        <v>10</v>
      </c>
      <c r="B3" s="3" t="n">
        <f aca="false">SUMIF('Sales Data'!C:C,A3,'Sales Data'!F:F)</f>
        <v>50</v>
      </c>
      <c r="C3" s="4" t="n">
        <f aca="false">SUMIF('Sales Data'!C:C,A3,'Sales Data'!G:G)</f>
        <v>1037500</v>
      </c>
      <c r="D3" s="3" t="s">
        <v>103</v>
      </c>
    </row>
    <row r="4" customFormat="false" ht="15" hidden="false" customHeight="false" outlineLevel="0" collapsed="false">
      <c r="A4" s="5" t="s">
        <v>22</v>
      </c>
      <c r="B4" s="5" t="n">
        <f aca="false">SUMIF('Sales Data'!C:C,A4,'Sales Data'!F:F)</f>
        <v>60</v>
      </c>
      <c r="C4" s="6" t="n">
        <f aca="false">SUMIF('Sales Data'!C:C,A4,'Sales Data'!G:G)</f>
        <v>656000</v>
      </c>
      <c r="D4" s="9" t="n">
        <f aca="false">IFERROR((C4-C3)/C3,0)</f>
        <v>-0.367710843373494</v>
      </c>
    </row>
    <row r="5" customFormat="false" ht="15" hidden="false" customHeight="false" outlineLevel="0" collapsed="false">
      <c r="A5" s="3" t="s">
        <v>31</v>
      </c>
      <c r="B5" s="3" t="n">
        <f aca="false">SUMIF('Sales Data'!C:C,A5,'Sales Data'!F:F)</f>
        <v>62</v>
      </c>
      <c r="C5" s="4" t="n">
        <f aca="false">SUMIF('Sales Data'!C:C,A5,'Sales Data'!G:G)</f>
        <v>1190000</v>
      </c>
      <c r="D5" s="10" t="n">
        <f aca="false">IFERROR((C5-C4)/C4,0)</f>
        <v>0.814024390243902</v>
      </c>
    </row>
    <row r="6" customFormat="false" ht="15" hidden="false" customHeight="false" outlineLevel="0" collapsed="false">
      <c r="A6" s="5" t="s">
        <v>39</v>
      </c>
      <c r="B6" s="5" t="n">
        <f aca="false">SUMIF('Sales Data'!C:C,A6,'Sales Data'!F:F)</f>
        <v>96</v>
      </c>
      <c r="C6" s="6" t="n">
        <f aca="false">SUMIF('Sales Data'!C:C,A6,'Sales Data'!G:G)</f>
        <v>705000</v>
      </c>
      <c r="D6" s="9" t="n">
        <f aca="false">IFERROR((C6-C5)/C5,0)</f>
        <v>-0.407563025210084</v>
      </c>
    </row>
    <row r="7" customFormat="false" ht="15" hidden="false" customHeight="false" outlineLevel="0" collapsed="false">
      <c r="A7" s="3" t="s">
        <v>46</v>
      </c>
      <c r="B7" s="3" t="n">
        <f aca="false">SUMIF('Sales Data'!C:C,A7,'Sales Data'!F:F)</f>
        <v>60</v>
      </c>
      <c r="C7" s="4" t="n">
        <f aca="false">SUMIF('Sales Data'!C:C,A7,'Sales Data'!G:G)</f>
        <v>1430000</v>
      </c>
      <c r="D7" s="10" t="n">
        <f aca="false">IFERROR((C7-C6)/C6,0)</f>
        <v>1.02836879432624</v>
      </c>
    </row>
    <row r="8" customFormat="false" ht="15" hidden="false" customHeight="false" outlineLevel="0" collapsed="false">
      <c r="A8" s="5" t="s">
        <v>53</v>
      </c>
      <c r="B8" s="5" t="n">
        <f aca="false">SUMIF('Sales Data'!C:C,A8,'Sales Data'!F:F)</f>
        <v>105</v>
      </c>
      <c r="C8" s="6" t="n">
        <f aca="false">SUMIF('Sales Data'!C:C,A8,'Sales Data'!G:G)</f>
        <v>1380000</v>
      </c>
      <c r="D8" s="9" t="n">
        <f aca="false">IFERROR((C8-C7)/C7,0)</f>
        <v>-0.034965034965035</v>
      </c>
    </row>
    <row r="9" customFormat="false" ht="15" hidden="false" customHeight="false" outlineLevel="0" collapsed="false">
      <c r="A9" s="3" t="s">
        <v>60</v>
      </c>
      <c r="B9" s="3" t="n">
        <f aca="false">SUMIF('Sales Data'!C:C,A9,'Sales Data'!F:F)</f>
        <v>72</v>
      </c>
      <c r="C9" s="4" t="n">
        <f aca="false">SUMIF('Sales Data'!C:C,A9,'Sales Data'!G:G)</f>
        <v>1635000</v>
      </c>
      <c r="D9" s="10" t="n">
        <f aca="false">IFERROR((C9-C8)/C8,0)</f>
        <v>0.184782608695652</v>
      </c>
    </row>
    <row r="10" customFormat="false" ht="15" hidden="false" customHeight="false" outlineLevel="0" collapsed="false">
      <c r="A10" s="5" t="s">
        <v>67</v>
      </c>
      <c r="B10" s="5" t="n">
        <f aca="false">SUMIF('Sales Data'!C:C,A10,'Sales Data'!F:F)</f>
        <v>109</v>
      </c>
      <c r="C10" s="6" t="n">
        <f aca="false">SUMIF('Sales Data'!C:C,A10,'Sales Data'!G:G)</f>
        <v>877000</v>
      </c>
      <c r="D10" s="9" t="n">
        <f aca="false">IFERROR((C10-C9)/C9,0)</f>
        <v>-0.463608562691132</v>
      </c>
    </row>
    <row r="11" customFormat="false" ht="15" hidden="false" customHeight="false" outlineLevel="0" collapsed="false">
      <c r="A11" s="3" t="s">
        <v>74</v>
      </c>
      <c r="B11" s="3" t="n">
        <f aca="false">SUMIF('Sales Data'!C:C,A11,'Sales Data'!F:F)</f>
        <v>97</v>
      </c>
      <c r="C11" s="4" t="n">
        <f aca="false">SUMIF('Sales Data'!C:C,A11,'Sales Data'!G:G)</f>
        <v>2005000</v>
      </c>
      <c r="D11" s="10" t="n">
        <f aca="false">IFERROR((C11-C10)/C10,0)</f>
        <v>1.28620296465222</v>
      </c>
    </row>
    <row r="12" customFormat="false" ht="15" hidden="false" customHeight="false" outlineLevel="0" collapsed="false">
      <c r="A12" s="5" t="s">
        <v>81</v>
      </c>
      <c r="B12" s="5" t="n">
        <f aca="false">SUMIF('Sales Data'!C:C,A12,'Sales Data'!F:F)</f>
        <v>115</v>
      </c>
      <c r="C12" s="6" t="n">
        <f aca="false">SUMIF('Sales Data'!C:C,A12,'Sales Data'!G:G)</f>
        <v>1735000</v>
      </c>
      <c r="D12" s="9" t="n">
        <f aca="false">IFERROR((C12-C11)/C11,0)</f>
        <v>-0.134663341645885</v>
      </c>
    </row>
    <row r="13" customFormat="false" ht="15" hidden="false" customHeight="false" outlineLevel="0" collapsed="false">
      <c r="A13" s="3" t="s">
        <v>88</v>
      </c>
      <c r="B13" s="3" t="n">
        <f aca="false">SUMIF('Sales Data'!C:C,A13,'Sales Data'!F:F)</f>
        <v>96</v>
      </c>
      <c r="C13" s="4" t="n">
        <f aca="false">SUMIF('Sales Data'!C:C,A13,'Sales Data'!G:G)</f>
        <v>2528000</v>
      </c>
      <c r="D13" s="10" t="n">
        <f aca="false">IFERROR((C13-C12)/C12,0)</f>
        <v>0.457060518731989</v>
      </c>
    </row>
    <row r="14" customFormat="false" ht="15" hidden="false" customHeight="false" outlineLevel="0" collapsed="false">
      <c r="A14" s="5" t="s">
        <v>95</v>
      </c>
      <c r="B14" s="5" t="n">
        <f aca="false">SUMIF('Sales Data'!C:C,A14,'Sales Data'!F:F)</f>
        <v>175</v>
      </c>
      <c r="C14" s="6" t="n">
        <f aca="false">SUMIF('Sales Data'!C:C,A14,'Sales Data'!G:G)</f>
        <v>3065000</v>
      </c>
      <c r="D14" s="9" t="n">
        <f aca="false">IFERROR((C14-C13)/C13,0)</f>
        <v>0.212420886075949</v>
      </c>
    </row>
    <row r="15" customFormat="false" ht="15" hidden="false" customHeight="false" outlineLevel="0" collapsed="false">
      <c r="A15" s="7" t="s">
        <v>100</v>
      </c>
      <c r="B15" s="7" t="n">
        <f aca="false">SUM(B3:B14)</f>
        <v>1097</v>
      </c>
      <c r="C15" s="8" t="n">
        <f aca="false">SUM(C3:C14)</f>
        <v>18243500</v>
      </c>
      <c r="D15" s="7" t="s">
        <v>103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3"/>
    <col collapsed="false" customWidth="true" hidden="false" outlineLevel="0" max="5" min="4" style="0" width="16"/>
  </cols>
  <sheetData>
    <row r="1" customFormat="false" ht="31.5" hidden="false" customHeight="true" outlineLevel="0" collapsed="false">
      <c r="A1" s="1" t="s">
        <v>104</v>
      </c>
      <c r="B1" s="1"/>
      <c r="C1" s="1"/>
      <c r="D1" s="1"/>
      <c r="E1" s="1"/>
    </row>
    <row r="2" customFormat="false" ht="26.8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  <c r="E2" s="2" t="s">
        <v>105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n">
        <f aca="false">SUMIF('Sales Data'!D:D,A3,'Sales Data'!F:F)</f>
        <v>195</v>
      </c>
      <c r="D3" s="4" t="n">
        <f aca="false">SUMIF('Sales Data'!D:D,A3,'Sales Data'!G:G)</f>
        <v>10725000</v>
      </c>
      <c r="E3" s="10" t="n">
        <f aca="false">IFERROR(D3/SUM(D3:D8),0)</f>
        <v>0.587880615013567</v>
      </c>
    </row>
    <row r="4" customFormat="false" ht="15" hidden="false" customHeight="false" outlineLevel="0" collapsed="false">
      <c r="A4" s="5" t="s">
        <v>15</v>
      </c>
      <c r="B4" s="5" t="s">
        <v>12</v>
      </c>
      <c r="C4" s="5" t="n">
        <f aca="false">SUMIF('Sales Data'!D:D,A4,'Sales Data'!F:F)</f>
        <v>345</v>
      </c>
      <c r="D4" s="6" t="n">
        <f aca="false">SUMIF('Sales Data'!D:D,A4,'Sales Data'!G:G)</f>
        <v>5175000</v>
      </c>
      <c r="E4" s="9" t="n">
        <f aca="false">IFERROR(D4/SUM(D3:D8),0)</f>
        <v>0.283662674377175</v>
      </c>
    </row>
    <row r="5" customFormat="false" ht="15" hidden="false" customHeight="false" outlineLevel="0" collapsed="false">
      <c r="A5" s="3" t="s">
        <v>25</v>
      </c>
      <c r="B5" s="3" t="s">
        <v>12</v>
      </c>
      <c r="C5" s="3" t="n">
        <f aca="false">SUMIF('Sales Data'!D:D,A5,'Sales Data'!F:F)</f>
        <v>355</v>
      </c>
      <c r="D5" s="4" t="n">
        <f aca="false">SUMIF('Sales Data'!D:D,A5,'Sales Data'!G:G)</f>
        <v>1065000</v>
      </c>
      <c r="E5" s="10" t="n">
        <f aca="false">IFERROR(D5/SUM(D3:D8),0)</f>
        <v>0.0583769561761723</v>
      </c>
    </row>
    <row r="6" customFormat="false" ht="15" hidden="false" customHeight="false" outlineLevel="0" collapsed="false">
      <c r="A6" s="5" t="s">
        <v>18</v>
      </c>
      <c r="B6" s="5" t="s">
        <v>19</v>
      </c>
      <c r="C6" s="5" t="n">
        <f aca="false">SUMIF('Sales Data'!D:D,A6,'Sales Data'!F:F)</f>
        <v>75</v>
      </c>
      <c r="D6" s="6" t="n">
        <f aca="false">SUMIF('Sales Data'!D:D,A6,'Sales Data'!G:G)</f>
        <v>562500</v>
      </c>
      <c r="E6" s="9" t="n">
        <f aca="false">IFERROR(D6/SUM(D3:D8),0)</f>
        <v>0.0308328993888234</v>
      </c>
    </row>
    <row r="7" customFormat="false" ht="15" hidden="false" customHeight="false" outlineLevel="0" collapsed="false">
      <c r="A7" s="3" t="s">
        <v>28</v>
      </c>
      <c r="B7" s="3" t="s">
        <v>19</v>
      </c>
      <c r="C7" s="3" t="n">
        <f aca="false">SUMIF('Sales Data'!D:D,A7,'Sales Data'!F:F)</f>
        <v>52</v>
      </c>
      <c r="D7" s="4" t="n">
        <f aca="false">SUMIF('Sales Data'!D:D,A7,'Sales Data'!G:G)</f>
        <v>416000</v>
      </c>
      <c r="E7" s="10" t="n">
        <f aca="false">IFERROR(D7/SUM(D3:D8),0)</f>
        <v>0.0228026420368899</v>
      </c>
    </row>
    <row r="8" customFormat="false" ht="15" hidden="false" customHeight="false" outlineLevel="0" collapsed="false">
      <c r="A8" s="5" t="s">
        <v>36</v>
      </c>
      <c r="B8" s="5" t="s">
        <v>19</v>
      </c>
      <c r="C8" s="5" t="n">
        <f aca="false">SUMIF('Sales Data'!D:D,A8,'Sales Data'!F:F)</f>
        <v>75</v>
      </c>
      <c r="D8" s="6" t="n">
        <f aca="false">SUMIF('Sales Data'!D:D,A8,'Sales Data'!G:G)</f>
        <v>300000</v>
      </c>
      <c r="E8" s="9" t="n">
        <f aca="false">IFERROR(D8/SUM(D3:D8),0)</f>
        <v>0.0164442130073725</v>
      </c>
    </row>
    <row r="9" customFormat="false" ht="15" hidden="false" customHeight="false" outlineLevel="0" collapsed="false">
      <c r="A9" s="7" t="s">
        <v>100</v>
      </c>
      <c r="B9" s="7"/>
      <c r="C9" s="7" t="n">
        <f aca="false">SUM(C3:C8)</f>
        <v>1097</v>
      </c>
      <c r="D9" s="8" t="n">
        <f aca="false">SUM(D3:D8)</f>
        <v>18243500</v>
      </c>
      <c r="E9" s="11" t="n">
        <f aca="false">SUM(E3:E8)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39.75" hidden="false" customHeight="true" outlineLevel="0" collapsed="false">
      <c r="A1" s="12" t="s">
        <v>106</v>
      </c>
      <c r="B1" s="12"/>
      <c r="C1" s="12"/>
      <c r="D1" s="12"/>
      <c r="E1" s="12"/>
      <c r="F1" s="12"/>
      <c r="G1" s="12"/>
      <c r="H1" s="12"/>
    </row>
    <row r="3" customFormat="false" ht="24" hidden="false" customHeight="true" outlineLevel="0" collapsed="false">
      <c r="A3" s="13" t="s">
        <v>107</v>
      </c>
      <c r="B3" s="13"/>
      <c r="C3" s="14" t="s">
        <v>108</v>
      </c>
      <c r="D3" s="14"/>
      <c r="E3" s="15" t="s">
        <v>109</v>
      </c>
      <c r="F3" s="15"/>
      <c r="G3" s="16" t="s">
        <v>110</v>
      </c>
      <c r="H3" s="16"/>
    </row>
    <row r="4" customFormat="false" ht="36" hidden="false" customHeight="true" outlineLevel="0" collapsed="false">
      <c r="A4" s="17" t="n">
        <f aca="false">'Monthly Trends'!C15</f>
        <v>18243500</v>
      </c>
      <c r="B4" s="17"/>
      <c r="C4" s="18" t="n">
        <f aca="false">'Monthly Trends'!B15</f>
        <v>1097</v>
      </c>
      <c r="D4" s="18"/>
      <c r="E4" s="19" t="n">
        <f aca="false">AVERAGE('Monthly Trends'!C3:C14)</f>
        <v>1520291.66666667</v>
      </c>
      <c r="F4" s="19"/>
      <c r="G4" s="20" t="str">
        <f aca="false">INDEX('Monthly Trends'!A3:A14,MATCH(MAX('Monthly Trends'!C3:C14),'Monthly Trends'!C3:C14,0))</f>
        <v>December</v>
      </c>
      <c r="H4" s="20"/>
    </row>
    <row r="5" customFormat="false" ht="7.5" hidden="false" customHeight="true" outlineLevel="0" collapsed="false">
      <c r="A5" s="21"/>
      <c r="B5" s="21"/>
      <c r="C5" s="21"/>
      <c r="D5" s="21"/>
      <c r="E5" s="21"/>
      <c r="F5" s="21"/>
      <c r="G5" s="21"/>
      <c r="H5" s="21"/>
    </row>
    <row r="7" customFormat="false" ht="15" hidden="false" customHeight="true" outlineLevel="0" collapsed="false">
      <c r="A7" s="22" t="s">
        <v>111</v>
      </c>
      <c r="B7" s="22"/>
      <c r="C7" s="22"/>
      <c r="D7" s="22"/>
      <c r="E7" s="22"/>
      <c r="F7" s="22"/>
      <c r="G7" s="22"/>
      <c r="H7" s="22"/>
    </row>
    <row r="8" customFormat="false" ht="15" hidden="false" customHeight="false" outlineLevel="0" collapsed="false">
      <c r="A8" s="13" t="s">
        <v>3</v>
      </c>
      <c r="B8" s="13" t="s">
        <v>112</v>
      </c>
      <c r="C8" s="13" t="s">
        <v>113</v>
      </c>
      <c r="D8" s="13" t="s">
        <v>114</v>
      </c>
      <c r="E8" s="13" t="s">
        <v>3</v>
      </c>
      <c r="F8" s="13" t="s">
        <v>112</v>
      </c>
      <c r="G8" s="13" t="s">
        <v>113</v>
      </c>
      <c r="H8" s="13" t="s">
        <v>114</v>
      </c>
    </row>
    <row r="9" customFormat="false" ht="15" hidden="false" customHeight="false" outlineLevel="0" collapsed="false">
      <c r="A9" s="3" t="str">
        <f aca="false">'Monthly Trends'!A3</f>
        <v>January</v>
      </c>
      <c r="B9" s="3" t="n">
        <f aca="false">'Monthly Trends'!B3</f>
        <v>50</v>
      </c>
      <c r="C9" s="4" t="n">
        <f aca="false">'Monthly Trends'!C3</f>
        <v>1037500</v>
      </c>
      <c r="D9" s="3" t="s">
        <v>103</v>
      </c>
      <c r="E9" s="3" t="str">
        <f aca="false">'Monthly Trends'!A9</f>
        <v>July</v>
      </c>
      <c r="F9" s="3" t="n">
        <f aca="false">'Monthly Trends'!B9</f>
        <v>72</v>
      </c>
      <c r="G9" s="4" t="n">
        <f aca="false">'Monthly Trends'!C9</f>
        <v>1635000</v>
      </c>
      <c r="H9" s="10" t="n">
        <f aca="false">'Monthly Trends'!D9</f>
        <v>0.184782608695652</v>
      </c>
    </row>
    <row r="10" customFormat="false" ht="15" hidden="false" customHeight="false" outlineLevel="0" collapsed="false">
      <c r="A10" s="5" t="str">
        <f aca="false">'Monthly Trends'!A4</f>
        <v>February</v>
      </c>
      <c r="B10" s="5" t="n">
        <f aca="false">'Monthly Trends'!B4</f>
        <v>60</v>
      </c>
      <c r="C10" s="6" t="n">
        <f aca="false">'Monthly Trends'!C4</f>
        <v>656000</v>
      </c>
      <c r="D10" s="9" t="n">
        <f aca="false">'Monthly Trends'!D4</f>
        <v>-0.367710843373494</v>
      </c>
      <c r="E10" s="5" t="str">
        <f aca="false">'Monthly Trends'!A10</f>
        <v>August</v>
      </c>
      <c r="F10" s="5" t="n">
        <f aca="false">'Monthly Trends'!B10</f>
        <v>109</v>
      </c>
      <c r="G10" s="6" t="n">
        <f aca="false">'Monthly Trends'!C10</f>
        <v>877000</v>
      </c>
      <c r="H10" s="9" t="n">
        <f aca="false">'Monthly Trends'!D10</f>
        <v>-0.463608562691132</v>
      </c>
    </row>
    <row r="11" customFormat="false" ht="15" hidden="false" customHeight="false" outlineLevel="0" collapsed="false">
      <c r="A11" s="3" t="str">
        <f aca="false">'Monthly Trends'!A5</f>
        <v>March</v>
      </c>
      <c r="B11" s="3" t="n">
        <f aca="false">'Monthly Trends'!B5</f>
        <v>62</v>
      </c>
      <c r="C11" s="4" t="n">
        <f aca="false">'Monthly Trends'!C5</f>
        <v>1190000</v>
      </c>
      <c r="D11" s="10" t="n">
        <f aca="false">'Monthly Trends'!D5</f>
        <v>0.814024390243902</v>
      </c>
      <c r="E11" s="3" t="str">
        <f aca="false">'Monthly Trends'!A11</f>
        <v>September</v>
      </c>
      <c r="F11" s="3" t="n">
        <f aca="false">'Monthly Trends'!B11</f>
        <v>97</v>
      </c>
      <c r="G11" s="4" t="n">
        <f aca="false">'Monthly Trends'!C11</f>
        <v>2005000</v>
      </c>
      <c r="H11" s="10" t="n">
        <f aca="false">'Monthly Trends'!D11</f>
        <v>1.28620296465222</v>
      </c>
    </row>
    <row r="12" customFormat="false" ht="15" hidden="false" customHeight="false" outlineLevel="0" collapsed="false">
      <c r="A12" s="5" t="str">
        <f aca="false">'Monthly Trends'!A6</f>
        <v>April</v>
      </c>
      <c r="B12" s="5" t="n">
        <f aca="false">'Monthly Trends'!B6</f>
        <v>96</v>
      </c>
      <c r="C12" s="6" t="n">
        <f aca="false">'Monthly Trends'!C6</f>
        <v>705000</v>
      </c>
      <c r="D12" s="9" t="n">
        <f aca="false">'Monthly Trends'!D6</f>
        <v>-0.407563025210084</v>
      </c>
      <c r="E12" s="5" t="str">
        <f aca="false">'Monthly Trends'!A12</f>
        <v>October</v>
      </c>
      <c r="F12" s="5" t="n">
        <f aca="false">'Monthly Trends'!B12</f>
        <v>115</v>
      </c>
      <c r="G12" s="6" t="n">
        <f aca="false">'Monthly Trends'!C12</f>
        <v>1735000</v>
      </c>
      <c r="H12" s="9" t="n">
        <f aca="false">'Monthly Trends'!D12</f>
        <v>-0.134663341645885</v>
      </c>
    </row>
    <row r="13" customFormat="false" ht="15" hidden="false" customHeight="false" outlineLevel="0" collapsed="false">
      <c r="A13" s="3" t="str">
        <f aca="false">'Monthly Trends'!A7</f>
        <v>May</v>
      </c>
      <c r="B13" s="3" t="n">
        <f aca="false">'Monthly Trends'!B7</f>
        <v>60</v>
      </c>
      <c r="C13" s="4" t="n">
        <f aca="false">'Monthly Trends'!C7</f>
        <v>1430000</v>
      </c>
      <c r="D13" s="10" t="n">
        <f aca="false">'Monthly Trends'!D7</f>
        <v>1.02836879432624</v>
      </c>
      <c r="E13" s="3" t="str">
        <f aca="false">'Monthly Trends'!A13</f>
        <v>November</v>
      </c>
      <c r="F13" s="3" t="n">
        <f aca="false">'Monthly Trends'!B13</f>
        <v>96</v>
      </c>
      <c r="G13" s="4" t="n">
        <f aca="false">'Monthly Trends'!C13</f>
        <v>2528000</v>
      </c>
      <c r="H13" s="10" t="n">
        <f aca="false">'Monthly Trends'!D13</f>
        <v>0.457060518731989</v>
      </c>
    </row>
    <row r="14" customFormat="false" ht="15" hidden="false" customHeight="false" outlineLevel="0" collapsed="false">
      <c r="A14" s="5" t="str">
        <f aca="false">'Monthly Trends'!A8</f>
        <v>June</v>
      </c>
      <c r="B14" s="5" t="n">
        <f aca="false">'Monthly Trends'!B8</f>
        <v>105</v>
      </c>
      <c r="C14" s="6" t="n">
        <f aca="false">'Monthly Trends'!C8</f>
        <v>1380000</v>
      </c>
      <c r="D14" s="9" t="n">
        <f aca="false">'Monthly Trends'!D8</f>
        <v>-0.034965034965035</v>
      </c>
      <c r="E14" s="5" t="str">
        <f aca="false">'Monthly Trends'!A14</f>
        <v>December</v>
      </c>
      <c r="F14" s="5" t="n">
        <f aca="false">'Monthly Trends'!B14</f>
        <v>175</v>
      </c>
      <c r="G14" s="6" t="n">
        <f aca="false">'Monthly Trends'!C14</f>
        <v>3065000</v>
      </c>
      <c r="H14" s="9" t="n">
        <f aca="false">'Monthly Trends'!D14</f>
        <v>0.212420886075949</v>
      </c>
    </row>
    <row r="17" customFormat="false" ht="15" hidden="false" customHeight="true" outlineLevel="0" collapsed="false">
      <c r="A17" s="22" t="s">
        <v>115</v>
      </c>
      <c r="B17" s="22"/>
      <c r="C17" s="22"/>
      <c r="D17" s="22"/>
      <c r="E17" s="22"/>
      <c r="F17" s="22"/>
      <c r="G17" s="22"/>
      <c r="H17" s="22"/>
    </row>
    <row r="18" customFormat="false" ht="15" hidden="false" customHeight="false" outlineLevel="0" collapsed="false">
      <c r="A18" s="13" t="s">
        <v>4</v>
      </c>
      <c r="B18" s="13" t="s">
        <v>5</v>
      </c>
      <c r="C18" s="13" t="s">
        <v>112</v>
      </c>
      <c r="D18" s="13" t="s">
        <v>113</v>
      </c>
      <c r="E18" s="13" t="s">
        <v>116</v>
      </c>
      <c r="F18" s="13"/>
      <c r="G18" s="13"/>
      <c r="H18" s="13"/>
    </row>
    <row r="19" customFormat="false" ht="15" hidden="false" customHeight="false" outlineLevel="0" collapsed="false">
      <c r="A19" s="3" t="str">
        <f aca="false">'Top Products'!A3</f>
        <v>Laptop</v>
      </c>
      <c r="B19" s="3" t="str">
        <f aca="false">'Top Products'!B3</f>
        <v>Electronics</v>
      </c>
      <c r="C19" s="3" t="n">
        <f aca="false">'Top Products'!C3</f>
        <v>195</v>
      </c>
      <c r="D19" s="4" t="n">
        <f aca="false">'Top Products'!D3</f>
        <v>10725000</v>
      </c>
      <c r="E19" s="10" t="n">
        <f aca="false">'Top Products'!E3</f>
        <v>0.587880615013567</v>
      </c>
    </row>
    <row r="20" customFormat="false" ht="15" hidden="false" customHeight="false" outlineLevel="0" collapsed="false">
      <c r="A20" s="5" t="str">
        <f aca="false">'Top Products'!A4</f>
        <v>Phone</v>
      </c>
      <c r="B20" s="5" t="str">
        <f aca="false">'Top Products'!B4</f>
        <v>Electronics</v>
      </c>
      <c r="C20" s="5" t="n">
        <f aca="false">'Top Products'!C4</f>
        <v>345</v>
      </c>
      <c r="D20" s="6" t="n">
        <f aca="false">'Top Products'!D4</f>
        <v>5175000</v>
      </c>
      <c r="E20" s="9" t="n">
        <f aca="false">'Top Products'!E4</f>
        <v>0.283662674377175</v>
      </c>
    </row>
    <row r="21" customFormat="false" ht="15" hidden="false" customHeight="false" outlineLevel="0" collapsed="false">
      <c r="A21" s="3" t="str">
        <f aca="false">'Top Products'!A5</f>
        <v>Headphones</v>
      </c>
      <c r="B21" s="3" t="str">
        <f aca="false">'Top Products'!B5</f>
        <v>Electronics</v>
      </c>
      <c r="C21" s="3" t="n">
        <f aca="false">'Top Products'!C5</f>
        <v>355</v>
      </c>
      <c r="D21" s="4" t="n">
        <f aca="false">'Top Products'!D5</f>
        <v>1065000</v>
      </c>
      <c r="E21" s="10" t="n">
        <f aca="false">'Top Products'!E5</f>
        <v>0.0583769561761723</v>
      </c>
    </row>
    <row r="22" customFormat="false" ht="15" hidden="false" customHeight="false" outlineLevel="0" collapsed="false">
      <c r="A22" s="5" t="str">
        <f aca="false">'Top Products'!A6</f>
        <v>Desk Chair</v>
      </c>
      <c r="B22" s="5" t="str">
        <f aca="false">'Top Products'!B6</f>
        <v>Furniture</v>
      </c>
      <c r="C22" s="5" t="n">
        <f aca="false">'Top Products'!C6</f>
        <v>75</v>
      </c>
      <c r="D22" s="6" t="n">
        <f aca="false">'Top Products'!D6</f>
        <v>562500</v>
      </c>
      <c r="E22" s="9" t="n">
        <f aca="false">'Top Products'!E6</f>
        <v>0.0308328993888234</v>
      </c>
    </row>
    <row r="23" customFormat="false" ht="15" hidden="false" customHeight="false" outlineLevel="0" collapsed="false">
      <c r="A23" s="3" t="str">
        <f aca="false">'Top Products'!A7</f>
        <v>Table</v>
      </c>
      <c r="B23" s="3" t="str">
        <f aca="false">'Top Products'!B7</f>
        <v>Furniture</v>
      </c>
      <c r="C23" s="3" t="n">
        <f aca="false">'Top Products'!C7</f>
        <v>52</v>
      </c>
      <c r="D23" s="4" t="n">
        <f aca="false">'Top Products'!D7</f>
        <v>416000</v>
      </c>
      <c r="E23" s="10" t="n">
        <f aca="false">'Top Products'!E7</f>
        <v>0.0228026420368899</v>
      </c>
    </row>
    <row r="24" customFormat="false" ht="15" hidden="false" customHeight="false" outlineLevel="0" collapsed="false">
      <c r="A24" s="5" t="str">
        <f aca="false">'Top Products'!A8</f>
        <v>Bookshelf</v>
      </c>
      <c r="B24" s="5" t="str">
        <f aca="false">'Top Products'!B8</f>
        <v>Furniture</v>
      </c>
      <c r="C24" s="5" t="n">
        <f aca="false">'Top Products'!C8</f>
        <v>75</v>
      </c>
      <c r="D24" s="6" t="n">
        <f aca="false">'Top Products'!D8</f>
        <v>300000</v>
      </c>
      <c r="E24" s="9" t="n">
        <f aca="false">'Top Products'!E8</f>
        <v>0.0164442130073725</v>
      </c>
    </row>
  </sheetData>
  <mergeCells count="15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2026-04-20T12:11:32Z</dcterms:created>
  <dc:creator>openpyxl</dc:creator>
  <dc:description/>
  <dc:language>en-US</dc:language>
  <cp:lastModifiedBy/>
  <dcterms:modified xsi:type="dcterms:W3CDTF">2026-04-20T12:11:48Z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